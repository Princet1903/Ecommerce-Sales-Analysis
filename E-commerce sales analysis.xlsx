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https://d.docs.live.net/02506988c412a067/Documents/"/>
    </mc:Choice>
  </mc:AlternateContent>
  <bookViews>
    <workbookView xWindow="0" yWindow="0" windowWidth="23040" windowHeight="9264" tabRatio="714" activeTab="5"/>
  </bookViews>
  <sheets>
    <sheet name="SALES DATA" sheetId="1" r:id="rId1"/>
    <sheet name="SALES BY REGION" sheetId="2" r:id="rId2"/>
    <sheet name="SALES BY CATEGORY" sheetId="4" r:id="rId3"/>
    <sheet name="MONTHLY SALES TREND" sheetId="5" r:id="rId4"/>
    <sheet name="TOP PRODUCTS" sheetId="6" r:id="rId5"/>
    <sheet name="DASHBOARD" sheetId="7" r:id="rId6"/>
  </sheets>
  <definedNames>
    <definedName name="Slicer_Category">#N/A</definedName>
    <definedName name="Slicer_Region">#N/A</definedName>
  </definedNames>
  <calcPr calcId="152511"/>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L6" i="7" l="1"/>
  <c r="AL5" i="7"/>
  <c r="AL4" i="7"/>
  <c r="AY3" i="7" l="1"/>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alcChain>
</file>

<file path=xl/sharedStrings.xml><?xml version="1.0" encoding="utf-8"?>
<sst xmlns="http://schemas.openxmlformats.org/spreadsheetml/2006/main" count="2047" uniqueCount="44">
  <si>
    <t>Order_ID</t>
  </si>
  <si>
    <t>Order_Date</t>
  </si>
  <si>
    <t>Region</t>
  </si>
  <si>
    <t>Category</t>
  </si>
  <si>
    <t>Product_Name</t>
  </si>
  <si>
    <t>Sales</t>
  </si>
  <si>
    <t>Cost</t>
  </si>
  <si>
    <t>Customer_Name</t>
  </si>
  <si>
    <t>Profit</t>
  </si>
  <si>
    <t>North</t>
  </si>
  <si>
    <t>Technology</t>
  </si>
  <si>
    <t>Laptop</t>
  </si>
  <si>
    <t>Sneha</t>
  </si>
  <si>
    <t>West</t>
  </si>
  <si>
    <t>Amit</t>
  </si>
  <si>
    <t>South</t>
  </si>
  <si>
    <t>Office Supplies</t>
  </si>
  <si>
    <t>Chair</t>
  </si>
  <si>
    <t>Vikas</t>
  </si>
  <si>
    <t>Furniture</t>
  </si>
  <si>
    <t>Pen</t>
  </si>
  <si>
    <t>Rahul</t>
  </si>
  <si>
    <t>Phone</t>
  </si>
  <si>
    <t>East</t>
  </si>
  <si>
    <t>Desk</t>
  </si>
  <si>
    <t>Printer</t>
  </si>
  <si>
    <t>Priya</t>
  </si>
  <si>
    <t>Month</t>
  </si>
  <si>
    <t>Year</t>
  </si>
  <si>
    <t>Row Labels</t>
  </si>
  <si>
    <t>Grand Total</t>
  </si>
  <si>
    <t>Sum of Sales</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</si>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</sst>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F800]dddd\,\ mmmm\ dd\,\ yyyy"/>
  </numFmts>
  <fonts count="1" x14ac:knownFonts="1">
    <font>
      <sz val="11"/>
      <color theme="1"/>
      <name val="Calibri Light"/>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4" fontId="0" fillId="0" borderId="0" xfId="0" applyNumberFormat="1"/>
    <xf numFmtId="2"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4">
    <dxf>
      <numFmt numFmtId="0" formatCode="General"/>
    </dxf>
    <dxf>
      <numFmt numFmtId="0" formatCode="General"/>
    </dxf>
    <dxf>
      <numFmt numFmtId="2" formatCode="0.00"/>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analysis.xlsx]SALES BY REGION!PivotTable1</c:name>
    <c:fmtId val="31"/>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    SALES BY REGION     </a:t>
            </a:r>
          </a:p>
        </c:rich>
      </c:tx>
      <c:layout>
        <c:manualLayout>
          <c:xMode val="edge"/>
          <c:yMode val="edge"/>
          <c:x val="0.28825076489126139"/>
          <c:y val="9.683502359077078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6">
                  <a:tint val="97000"/>
                  <a:satMod val="100000"/>
                  <a:lumMod val="102000"/>
                </a:schemeClr>
              </a:gs>
              <a:gs pos="50000">
                <a:schemeClr val="accent6">
                  <a:shade val="100000"/>
                  <a:satMod val="100000"/>
                  <a:lumMod val="100000"/>
                </a:schemeClr>
              </a:gs>
              <a:gs pos="100000">
                <a:schemeClr val="accent6">
                  <a:shade val="80000"/>
                  <a:satMod val="100000"/>
                  <a:lumMod val="99000"/>
                </a:schemeClr>
              </a:gs>
            </a:gsLst>
            <a:lin ang="2700000" scaled="0"/>
          </a:gradFill>
          <a:ln>
            <a:noFill/>
          </a:ln>
          <a:effectLst/>
          <a:sp3d/>
        </c:spPr>
        <c:marker>
          <c:symbol val="circle"/>
          <c:size val="6"/>
          <c:spPr>
            <a:gradFill rotWithShape="1">
              <a:gsLst>
                <a:gs pos="0">
                  <a:schemeClr val="accent6">
                    <a:tint val="97000"/>
                    <a:satMod val="100000"/>
                    <a:lumMod val="102000"/>
                  </a:schemeClr>
                </a:gs>
                <a:gs pos="50000">
                  <a:schemeClr val="accent6">
                    <a:shade val="100000"/>
                    <a:satMod val="100000"/>
                    <a:lumMod val="100000"/>
                  </a:schemeClr>
                </a:gs>
                <a:gs pos="100000">
                  <a:schemeClr val="accent6">
                    <a:shade val="80000"/>
                    <a:satMod val="100000"/>
                    <a:lumMod val="99000"/>
                  </a:schemeClr>
                </a:gs>
              </a:gsLst>
              <a:lin ang="2700000" scaled="0"/>
            </a:gradFill>
            <a:ln w="12700">
              <a:solidFill>
                <a:schemeClr val="lt2"/>
              </a:solidFill>
              <a:round/>
            </a:ln>
            <a:effectLst/>
          </c:spPr>
        </c:marker>
        <c:dLbl>
          <c:idx val="0"/>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3829992006541775"/>
          <c:y val="0.25305752764510991"/>
          <c:w val="0.59662804693170646"/>
          <c:h val="0.58738909685469642"/>
        </c:manualLayout>
      </c:layout>
      <c:bar3DChart>
        <c:barDir val="bar"/>
        <c:grouping val="clustered"/>
        <c:varyColors val="0"/>
        <c:ser>
          <c:idx val="0"/>
          <c:order val="0"/>
          <c:tx>
            <c:strRef>
              <c:f>'SALES BY REGION'!$D$3</c:f>
              <c:strCache>
                <c:ptCount val="1"/>
                <c:pt idx="0">
                  <c:v>Total</c:v>
                </c:pt>
              </c:strCache>
            </c:strRef>
          </c:tx>
          <c:spPr>
            <a:gradFill rotWithShape="1">
              <a:gsLst>
                <a:gs pos="0">
                  <a:schemeClr val="accent6">
                    <a:tint val="97000"/>
                    <a:satMod val="100000"/>
                    <a:lumMod val="102000"/>
                  </a:schemeClr>
                </a:gs>
                <a:gs pos="50000">
                  <a:schemeClr val="accent6">
                    <a:shade val="100000"/>
                    <a:satMod val="100000"/>
                    <a:lumMod val="100000"/>
                  </a:schemeClr>
                </a:gs>
                <a:gs pos="100000">
                  <a:schemeClr val="accent6">
                    <a:shade val="80000"/>
                    <a:satMod val="100000"/>
                    <a:lumMod val="99000"/>
                  </a:schemeClr>
                </a:gs>
              </a:gsLst>
              <a:lin ang="2700000" scaled="0"/>
            </a:gradFill>
            <a:ln>
              <a:noFill/>
            </a:ln>
            <a:effectLst/>
            <a:sp3d/>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layout/>
                <c15:showLeaderLines val="0"/>
              </c:ext>
            </c:extLst>
          </c:dLbls>
          <c:cat>
            <c:strRef>
              <c:f>'SALES BY REGION'!$C$4:$C$8</c:f>
              <c:strCache>
                <c:ptCount val="4"/>
                <c:pt idx="0">
                  <c:v>East</c:v>
                </c:pt>
                <c:pt idx="1">
                  <c:v>North</c:v>
                </c:pt>
                <c:pt idx="2">
                  <c:v>South</c:v>
                </c:pt>
                <c:pt idx="3">
                  <c:v>West</c:v>
                </c:pt>
              </c:strCache>
            </c:strRef>
          </c:cat>
          <c:val>
            <c:numRef>
              <c:f>'SALES BY REGION'!$D$4:$D$8</c:f>
              <c:numCache>
                <c:formatCode>General</c:formatCode>
                <c:ptCount val="4"/>
                <c:pt idx="0">
                  <c:v>301651</c:v>
                </c:pt>
                <c:pt idx="1">
                  <c:v>360053</c:v>
                </c:pt>
                <c:pt idx="2">
                  <c:v>329477</c:v>
                </c:pt>
                <c:pt idx="3">
                  <c:v>404652</c:v>
                </c:pt>
              </c:numCache>
            </c:numRef>
          </c:val>
        </c:ser>
        <c:dLbls>
          <c:showLegendKey val="0"/>
          <c:showVal val="0"/>
          <c:showCatName val="0"/>
          <c:showSerName val="0"/>
          <c:showPercent val="0"/>
          <c:showBubbleSize val="0"/>
        </c:dLbls>
        <c:gapWidth val="150"/>
        <c:shape val="box"/>
        <c:axId val="395184760"/>
        <c:axId val="395185544"/>
        <c:axId val="0"/>
      </c:bar3DChart>
      <c:catAx>
        <c:axId val="395184760"/>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95185544"/>
        <c:crosses val="autoZero"/>
        <c:auto val="1"/>
        <c:lblAlgn val="ctr"/>
        <c:lblOffset val="100"/>
        <c:noMultiLvlLbl val="0"/>
      </c:catAx>
      <c:valAx>
        <c:axId val="3951855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9518476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analysis.xlsx]SALES BY CATEGORY!PivotTable2</c:name>
    <c:fmtId val="10"/>
  </c:pivotSource>
  <c:chart>
    <c:title>
      <c:tx>
        <c:rich>
          <a:bodyPr rot="0" spcFirstLastPara="1" vertOverflow="ellipsis" vert="horz" wrap="square" anchor="ctr" anchorCtr="1"/>
          <a:lstStyle/>
          <a:p>
            <a:pPr algn="ctr" rtl="0">
              <a:defRPr lang="en-US" sz="1600" b="1" i="0" u="none" strike="noStrike" kern="1200" cap="all" spc="120" normalizeH="0" baseline="0">
                <a:solidFill>
                  <a:srgbClr val="162F33"/>
                </a:solidFill>
                <a:latin typeface="+mn-lt"/>
                <a:ea typeface="+mn-ea"/>
                <a:cs typeface="+mn-cs"/>
              </a:defRPr>
            </a:pPr>
            <a:r>
              <a:rPr lang="en-US" sz="1600" b="1" i="0" u="none" strike="noStrike" kern="1200" cap="all" spc="120" normalizeH="0" baseline="0">
                <a:solidFill>
                  <a:srgbClr val="162F33"/>
                </a:solidFill>
                <a:latin typeface="+mn-lt"/>
                <a:ea typeface="+mn-ea"/>
                <a:cs typeface="+mn-cs"/>
              </a:rPr>
              <a:t>SALES BY CATEGORY</a:t>
            </a:r>
          </a:p>
        </c:rich>
      </c:tx>
      <c:layout>
        <c:manualLayout>
          <c:xMode val="edge"/>
          <c:yMode val="edge"/>
          <c:x val="0.32844276583381748"/>
          <c:y val="0.1024428192104862"/>
        </c:manualLayout>
      </c:layout>
      <c:overlay val="0"/>
      <c:spPr>
        <a:noFill/>
        <a:ln>
          <a:noFill/>
        </a:ln>
        <a:effectLst/>
      </c:spPr>
      <c:txPr>
        <a:bodyPr rot="0" spcFirstLastPara="1" vertOverflow="ellipsis" vert="horz" wrap="square" anchor="ctr" anchorCtr="1"/>
        <a:lstStyle/>
        <a:p>
          <a:pPr algn="ctr" rtl="0">
            <a:defRPr lang="en-US" sz="1600" b="1" i="0" u="none" strike="noStrike" kern="1200" cap="all" spc="120" normalizeH="0" baseline="0">
              <a:solidFill>
                <a:srgbClr val="162F33"/>
              </a:solidFill>
              <a:latin typeface="+mn-lt"/>
              <a:ea typeface="+mn-ea"/>
              <a:cs typeface="+mn-cs"/>
            </a:defRPr>
          </a:pPr>
          <a:endParaRPr lang="en-US"/>
        </a:p>
      </c:txPr>
    </c:title>
    <c:autoTitleDeleted val="0"/>
    <c:pivotFmts>
      <c:pivotFmt>
        <c:idx val="0"/>
      </c:pivotFmt>
      <c:pivotFmt>
        <c:idx val="1"/>
      </c:pivotFmt>
      <c:pivotFmt>
        <c:idx val="2"/>
        <c:spPr>
          <a:solidFill>
            <a:schemeClr val="accent1"/>
          </a:solidFill>
          <a:ln>
            <a:solidFill>
              <a:schemeClr val="accent1">
                <a:lumMod val="75000"/>
              </a:schemeClr>
            </a:solidFill>
          </a:ln>
          <a:effectLst/>
          <a:scene3d>
            <a:camera prst="orthographicFront"/>
            <a:lightRig rig="threePt" dir="t"/>
          </a:scene3d>
          <a:sp3d prstMaterial="translucentPowder">
            <a:contourClr>
              <a:schemeClr val="accent1">
                <a:lumMod val="75000"/>
              </a:schemeClr>
            </a:contourClr>
          </a:sp3d>
        </c:spPr>
        <c:marker>
          <c:symbol val="circle"/>
          <c:size val="6"/>
          <c:spPr>
            <a:solidFill>
              <a:schemeClr val="accent1">
                <a:alpha val="70000"/>
              </a:schemeClr>
            </a:solidFill>
            <a:ln>
              <a:solidFill>
                <a:schemeClr val="accent1">
                  <a:lumMod val="75000"/>
                </a:schemeClr>
              </a:solidFill>
            </a:ln>
            <a:effectLst/>
          </c:spPr>
        </c:marker>
      </c:pivotFmt>
    </c:pivotFmts>
    <c:view3D>
      <c:rotX val="15"/>
      <c:rotY val="20"/>
      <c:depthPercent val="100"/>
      <c:rAngAx val="1"/>
    </c:view3D>
    <c:floor>
      <c:thickness val="0"/>
      <c:spPr>
        <a:solidFill>
          <a:schemeClr val="lt1">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'SALES BY CATEGORY'!$C$3</c:f>
              <c:strCache>
                <c:ptCount val="1"/>
                <c:pt idx="0">
                  <c:v>Total</c:v>
                </c:pt>
              </c:strCache>
            </c:strRef>
          </c:tx>
          <c:spPr>
            <a:solidFill>
              <a:schemeClr val="accent1"/>
            </a:solidFill>
            <a:ln>
              <a:solidFill>
                <a:schemeClr val="accent1">
                  <a:lumMod val="75000"/>
                </a:schemeClr>
              </a:solidFill>
            </a:ln>
            <a:effectLst/>
            <a:scene3d>
              <a:camera prst="orthographicFront"/>
              <a:lightRig rig="threePt" dir="t"/>
            </a:scene3d>
            <a:sp3d prstMaterial="translucentPowder">
              <a:contourClr>
                <a:schemeClr val="accent1">
                  <a:lumMod val="75000"/>
                </a:schemeClr>
              </a:contourClr>
            </a:sp3d>
          </c:spPr>
          <c:invertIfNegative val="0"/>
          <c:cat>
            <c:strRef>
              <c:f>'SALES BY CATEGORY'!$B$4:$B$7</c:f>
              <c:strCache>
                <c:ptCount val="3"/>
                <c:pt idx="0">
                  <c:v>Furniture</c:v>
                </c:pt>
                <c:pt idx="1">
                  <c:v>Office Supplies</c:v>
                </c:pt>
                <c:pt idx="2">
                  <c:v>Technology</c:v>
                </c:pt>
              </c:strCache>
            </c:strRef>
          </c:cat>
          <c:val>
            <c:numRef>
              <c:f>'SALES BY CATEGORY'!$C$4:$C$7</c:f>
              <c:numCache>
                <c:formatCode>General</c:formatCode>
                <c:ptCount val="3"/>
                <c:pt idx="0">
                  <c:v>436506</c:v>
                </c:pt>
                <c:pt idx="1">
                  <c:v>474764</c:v>
                </c:pt>
                <c:pt idx="2">
                  <c:v>484563</c:v>
                </c:pt>
              </c:numCache>
            </c:numRef>
          </c:val>
        </c:ser>
        <c:dLbls>
          <c:showLegendKey val="0"/>
          <c:showVal val="0"/>
          <c:showCatName val="0"/>
          <c:showSerName val="0"/>
          <c:showPercent val="0"/>
          <c:showBubbleSize val="0"/>
        </c:dLbls>
        <c:gapWidth val="150"/>
        <c:shape val="box"/>
        <c:axId val="395184368"/>
        <c:axId val="395185152"/>
        <c:axId val="0"/>
      </c:bar3DChart>
      <c:catAx>
        <c:axId val="39518436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395185152"/>
        <c:crosses val="autoZero"/>
        <c:auto val="1"/>
        <c:lblAlgn val="ctr"/>
        <c:lblOffset val="100"/>
        <c:noMultiLvlLbl val="0"/>
      </c:catAx>
      <c:valAx>
        <c:axId val="395185152"/>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39518436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analysis.xlsx]MONTHLY SALES TREND!PivotTable3</c:name>
    <c:fmtId val="18"/>
  </c:pivotSource>
  <c:chart>
    <c:title>
      <c:tx>
        <c:rich>
          <a:bodyPr rot="0" spcFirstLastPara="1" vertOverflow="ellipsis" vert="horz" wrap="square" anchor="ctr" anchorCtr="1"/>
          <a:lstStyle/>
          <a:p>
            <a:pPr algn="ctr" rtl="0">
              <a:defRPr lang="en-US" sz="1600" b="1" i="0" u="none" strike="noStrike" kern="1200" cap="all" spc="120" normalizeH="0" baseline="0">
                <a:solidFill>
                  <a:srgbClr val="162F33"/>
                </a:solidFill>
                <a:latin typeface="+mn-lt"/>
                <a:ea typeface="+mn-ea"/>
                <a:cs typeface="+mn-cs"/>
              </a:defRPr>
            </a:pPr>
            <a:r>
              <a:rPr lang="en-US" sz="1600" b="1" i="0" u="none" strike="noStrike" kern="1200" baseline="0">
                <a:solidFill>
                  <a:srgbClr val="162F33"/>
                </a:solidFill>
                <a:latin typeface="+mn-lt"/>
                <a:ea typeface="+mn-ea"/>
                <a:cs typeface="+mn-cs"/>
              </a:rPr>
              <a:t>MONTHLY SALES TREND </a:t>
            </a:r>
          </a:p>
        </c:rich>
      </c:tx>
      <c:layout>
        <c:manualLayout>
          <c:xMode val="edge"/>
          <c:yMode val="edge"/>
          <c:x val="0.2772624434389141"/>
          <c:y val="0.10341155724071939"/>
        </c:manualLayout>
      </c:layout>
      <c:overlay val="0"/>
      <c:spPr>
        <a:noFill/>
        <a:ln>
          <a:noFill/>
        </a:ln>
        <a:effectLst/>
      </c:spPr>
      <c:txPr>
        <a:bodyPr rot="0" spcFirstLastPara="1" vertOverflow="ellipsis" vert="horz" wrap="square" anchor="ctr" anchorCtr="1"/>
        <a:lstStyle/>
        <a:p>
          <a:pPr algn="ctr" rtl="0">
            <a:defRPr lang="en-US" sz="1600" b="1" i="0" u="none" strike="noStrike" kern="1200" cap="all" spc="120" normalizeH="0" baseline="0">
              <a:solidFill>
                <a:srgbClr val="162F33"/>
              </a:solidFill>
              <a:latin typeface="+mn-lt"/>
              <a:ea typeface="+mn-ea"/>
              <a:cs typeface="+mn-cs"/>
            </a:defRPr>
          </a:pPr>
          <a:endParaRPr lang="en-US"/>
        </a:p>
      </c:txPr>
    </c:title>
    <c:autoTitleDeleted val="0"/>
    <c:pivotFmts>
      <c:pivotFmt>
        <c:idx val="0"/>
      </c:pivotFmt>
      <c:pivotFmt>
        <c:idx val="1"/>
      </c:pivotFmt>
      <c:pivotFmt>
        <c:idx val="2"/>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 TREND'!$B$1</c:f>
              <c:strCache>
                <c:ptCount val="1"/>
                <c:pt idx="0">
                  <c:v>Total</c:v>
                </c:pt>
              </c:strCache>
            </c:strRef>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trendline>
            <c:spPr>
              <a:ln w="19050" cap="rnd">
                <a:solidFill>
                  <a:schemeClr val="accent1"/>
                </a:solidFill>
                <a:prstDash val="sysDash"/>
              </a:ln>
              <a:effectLst/>
            </c:spPr>
            <c:trendlineType val="linear"/>
            <c:dispRSqr val="0"/>
            <c:dispEq val="0"/>
          </c:trendline>
          <c:cat>
            <c:strRef>
              <c:f>'MONTHLY SALES TREND'!$A$2:$A$14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SALES TREND'!$B$2:$B$14</c:f>
              <c:numCache>
                <c:formatCode>General</c:formatCode>
                <c:ptCount val="12"/>
                <c:pt idx="0">
                  <c:v>168039</c:v>
                </c:pt>
                <c:pt idx="1">
                  <c:v>163445</c:v>
                </c:pt>
                <c:pt idx="2">
                  <c:v>176065</c:v>
                </c:pt>
                <c:pt idx="3">
                  <c:v>189438</c:v>
                </c:pt>
                <c:pt idx="4">
                  <c:v>119128</c:v>
                </c:pt>
                <c:pt idx="5">
                  <c:v>78934</c:v>
                </c:pt>
                <c:pt idx="6">
                  <c:v>82941</c:v>
                </c:pt>
                <c:pt idx="7">
                  <c:v>81789</c:v>
                </c:pt>
                <c:pt idx="8">
                  <c:v>71807</c:v>
                </c:pt>
                <c:pt idx="9">
                  <c:v>84848</c:v>
                </c:pt>
                <c:pt idx="10">
                  <c:v>82575</c:v>
                </c:pt>
                <c:pt idx="11">
                  <c:v>96824</c:v>
                </c:pt>
              </c:numCache>
            </c:numRef>
          </c:val>
          <c:smooth val="0"/>
        </c:ser>
        <c:dLbls>
          <c:showLegendKey val="0"/>
          <c:showVal val="0"/>
          <c:showCatName val="0"/>
          <c:showSerName val="0"/>
          <c:showPercent val="0"/>
          <c:showBubbleSize val="0"/>
        </c:dLbls>
        <c:marker val="1"/>
        <c:smooth val="0"/>
        <c:axId val="394461200"/>
        <c:axId val="394458064"/>
      </c:lineChart>
      <c:catAx>
        <c:axId val="3944612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394458064"/>
        <c:crosses val="autoZero"/>
        <c:auto val="1"/>
        <c:lblAlgn val="ctr"/>
        <c:lblOffset val="100"/>
        <c:noMultiLvlLbl val="0"/>
      </c:catAx>
      <c:valAx>
        <c:axId val="394458064"/>
        <c:scaling>
          <c:orientation val="minMax"/>
        </c:scaling>
        <c:delete val="0"/>
        <c:axPos val="l"/>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4461200"/>
        <c:crosses val="autoZero"/>
        <c:crossBetween val="between"/>
      </c:valAx>
      <c:spPr>
        <a:noFill/>
        <a:ln>
          <a:noFill/>
        </a:ln>
        <a:effectLst/>
      </c:spPr>
    </c:plotArea>
    <c:plotVisOnly val="1"/>
    <c:dispBlanksAs val="gap"/>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analysis.xlsx]TOP PRODUCTS!PivotTable4</c:name>
    <c:fmtId val="1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TOP 5 PRODUCTS</a:t>
            </a:r>
          </a:p>
        </c:rich>
      </c:tx>
      <c:layout>
        <c:manualLayout>
          <c:xMode val="edge"/>
          <c:yMode val="edge"/>
          <c:x val="0.40662128712871282"/>
          <c:y val="6.8016555313906338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spPr>
          <a:gradFill rotWithShape="1">
            <a:gsLst>
              <a:gs pos="0">
                <a:schemeClr val="accent1">
                  <a:tint val="97000"/>
                  <a:satMod val="100000"/>
                  <a:lumMod val="102000"/>
                </a:schemeClr>
              </a:gs>
              <a:gs pos="50000">
                <a:schemeClr val="accent1">
                  <a:shade val="100000"/>
                  <a:satMod val="100000"/>
                  <a:lumMod val="100000"/>
                </a:schemeClr>
              </a:gs>
              <a:gs pos="100000">
                <a:schemeClr val="accent1">
                  <a:shade val="80000"/>
                  <a:satMod val="100000"/>
                  <a:lumMod val="99000"/>
                </a:schemeClr>
              </a:gs>
            </a:gsLst>
            <a:lin ang="27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tint val="97000"/>
                    <a:satMod val="100000"/>
                    <a:lumMod val="102000"/>
                  </a:schemeClr>
                </a:gs>
                <a:gs pos="50000">
                  <a:schemeClr val="accent1">
                    <a:shade val="100000"/>
                    <a:satMod val="100000"/>
                    <a:lumMod val="100000"/>
                  </a:schemeClr>
                </a:gs>
                <a:gs pos="100000">
                  <a:schemeClr val="accent1">
                    <a:shade val="80000"/>
                    <a:satMod val="100000"/>
                    <a:lumMod val="99000"/>
                  </a:schemeClr>
                </a:gs>
              </a:gsLst>
              <a:lin ang="2700000" scaled="0"/>
            </a:gradFill>
            <a:ln w="9525">
              <a:solidFill>
                <a:schemeClr val="accent1"/>
              </a:solidFill>
              <a:round/>
            </a:ln>
            <a:effectLst>
              <a:outerShdw blurRad="57150" dist="19050" dir="5400000" algn="ctr" rotWithShape="0">
                <a:srgbClr val="000000">
                  <a:alpha val="63000"/>
                </a:srgbClr>
              </a:outerShdw>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
        <c:idx val="8"/>
        <c:spPr>
          <a:gradFill rotWithShape="1">
            <a:gsLst>
              <a:gs pos="0">
                <a:schemeClr val="accent1">
                  <a:tint val="97000"/>
                  <a:satMod val="100000"/>
                  <a:lumMod val="102000"/>
                </a:schemeClr>
              </a:gs>
              <a:gs pos="50000">
                <a:schemeClr val="accent1">
                  <a:shade val="100000"/>
                  <a:satMod val="100000"/>
                  <a:lumMod val="100000"/>
                </a:schemeClr>
              </a:gs>
              <a:gs pos="100000">
                <a:schemeClr val="accent1">
                  <a:shade val="80000"/>
                  <a:satMod val="100000"/>
                  <a:lumMod val="99000"/>
                </a:schemeClr>
              </a:gs>
            </a:gsLst>
            <a:lin ang="27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tint val="97000"/>
                  <a:satMod val="100000"/>
                  <a:lumMod val="102000"/>
                </a:schemeClr>
              </a:gs>
              <a:gs pos="50000">
                <a:schemeClr val="accent1">
                  <a:shade val="100000"/>
                  <a:satMod val="100000"/>
                  <a:lumMod val="100000"/>
                </a:schemeClr>
              </a:gs>
              <a:gs pos="100000">
                <a:schemeClr val="accent1">
                  <a:shade val="80000"/>
                  <a:satMod val="100000"/>
                  <a:lumMod val="99000"/>
                </a:schemeClr>
              </a:gs>
            </a:gsLst>
            <a:lin ang="27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tint val="97000"/>
                  <a:satMod val="100000"/>
                  <a:lumMod val="102000"/>
                </a:schemeClr>
              </a:gs>
              <a:gs pos="50000">
                <a:schemeClr val="accent1">
                  <a:shade val="100000"/>
                  <a:satMod val="100000"/>
                  <a:lumMod val="100000"/>
                </a:schemeClr>
              </a:gs>
              <a:gs pos="100000">
                <a:schemeClr val="accent1">
                  <a:shade val="80000"/>
                  <a:satMod val="100000"/>
                  <a:lumMod val="99000"/>
                </a:schemeClr>
              </a:gs>
            </a:gsLst>
            <a:lin ang="27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tint val="97000"/>
                  <a:satMod val="100000"/>
                  <a:lumMod val="102000"/>
                </a:schemeClr>
              </a:gs>
              <a:gs pos="50000">
                <a:schemeClr val="accent1">
                  <a:shade val="100000"/>
                  <a:satMod val="100000"/>
                  <a:lumMod val="100000"/>
                </a:schemeClr>
              </a:gs>
              <a:gs pos="100000">
                <a:schemeClr val="accent1">
                  <a:shade val="80000"/>
                  <a:satMod val="100000"/>
                  <a:lumMod val="99000"/>
                </a:schemeClr>
              </a:gs>
            </a:gsLst>
            <a:lin ang="27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tint val="97000"/>
                  <a:satMod val="100000"/>
                  <a:lumMod val="102000"/>
                </a:schemeClr>
              </a:gs>
              <a:gs pos="50000">
                <a:schemeClr val="accent1">
                  <a:shade val="100000"/>
                  <a:satMod val="100000"/>
                  <a:lumMod val="100000"/>
                </a:schemeClr>
              </a:gs>
              <a:gs pos="100000">
                <a:schemeClr val="accent1">
                  <a:shade val="80000"/>
                  <a:satMod val="100000"/>
                  <a:lumMod val="99000"/>
                </a:schemeClr>
              </a:gs>
            </a:gsLst>
            <a:lin ang="27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4.0293040293040296E-2"/>
          <c:y val="0.23144364988041377"/>
          <c:w val="0.93540544404939874"/>
          <c:h val="0.69893788142587765"/>
        </c:manualLayout>
      </c:layout>
      <c:barChart>
        <c:barDir val="col"/>
        <c:grouping val="clustered"/>
        <c:varyColors val="0"/>
        <c:ser>
          <c:idx val="0"/>
          <c:order val="0"/>
          <c:tx>
            <c:strRef>
              <c:f>'TOP PRODUCTS'!$B$1</c:f>
              <c:strCache>
                <c:ptCount val="1"/>
                <c:pt idx="0">
                  <c:v>Total</c:v>
                </c:pt>
              </c:strCache>
            </c:strRef>
          </c:tx>
          <c:spPr>
            <a:gradFill rotWithShape="1">
              <a:gsLst>
                <a:gs pos="0">
                  <a:schemeClr val="accent1">
                    <a:tint val="97000"/>
                    <a:satMod val="100000"/>
                    <a:lumMod val="102000"/>
                  </a:schemeClr>
                </a:gs>
                <a:gs pos="50000">
                  <a:schemeClr val="accent1">
                    <a:shade val="100000"/>
                    <a:satMod val="100000"/>
                    <a:lumMod val="100000"/>
                  </a:schemeClr>
                </a:gs>
                <a:gs pos="100000">
                  <a:schemeClr val="accent1">
                    <a:shade val="80000"/>
                    <a:satMod val="100000"/>
                    <a:lumMod val="99000"/>
                  </a:schemeClr>
                </a:gs>
              </a:gsLst>
              <a:lin ang="2700000" scaled="0"/>
            </a:gradFill>
            <a:ln>
              <a:noFill/>
            </a:ln>
            <a:effectLst>
              <a:outerShdw blurRad="57150" dist="19050" dir="5400000" algn="ctr" rotWithShape="0">
                <a:srgbClr val="000000">
                  <a:alpha val="63000"/>
                </a:srgbClr>
              </a:outerShdw>
            </a:effectLst>
          </c:spPr>
          <c:invertIfNegative val="0"/>
          <c:dPt>
            <c:idx val="0"/>
            <c:invertIfNegative val="0"/>
            <c:bubble3D val="0"/>
          </c:dPt>
          <c:dPt>
            <c:idx val="1"/>
            <c:invertIfNegative val="0"/>
            <c:bubble3D val="0"/>
          </c:dPt>
          <c:dPt>
            <c:idx val="2"/>
            <c:invertIfNegative val="0"/>
            <c:bubble3D val="0"/>
          </c:dPt>
          <c:dPt>
            <c:idx val="3"/>
            <c:invertIfNegative val="0"/>
            <c:bubble3D val="0"/>
          </c:dPt>
          <c:dPt>
            <c:idx val="4"/>
            <c:invertIfNegative val="0"/>
            <c:bubble3D val="0"/>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ln>
              <a:effectLst/>
            </c:spPr>
            <c:trendlineType val="movingAvg"/>
            <c:period val="2"/>
            <c:dispRSqr val="0"/>
            <c:dispEq val="0"/>
          </c:trendline>
          <c:cat>
            <c:strRef>
              <c:f>'TOP PRODUCTS'!$A$2:$A$7</c:f>
              <c:strCache>
                <c:ptCount val="5"/>
                <c:pt idx="0">
                  <c:v>Pen</c:v>
                </c:pt>
                <c:pt idx="1">
                  <c:v>Desk</c:v>
                </c:pt>
                <c:pt idx="2">
                  <c:v>Chair</c:v>
                </c:pt>
                <c:pt idx="3">
                  <c:v>Laptop</c:v>
                </c:pt>
                <c:pt idx="4">
                  <c:v>Printer</c:v>
                </c:pt>
              </c:strCache>
            </c:strRef>
          </c:cat>
          <c:val>
            <c:numRef>
              <c:f>'TOP PRODUCTS'!$B$2:$B$7</c:f>
              <c:numCache>
                <c:formatCode>General</c:formatCode>
                <c:ptCount val="5"/>
                <c:pt idx="0">
                  <c:v>264818</c:v>
                </c:pt>
                <c:pt idx="1">
                  <c:v>242734</c:v>
                </c:pt>
                <c:pt idx="2">
                  <c:v>224739</c:v>
                </c:pt>
                <c:pt idx="3">
                  <c:v>223033</c:v>
                </c:pt>
                <c:pt idx="4">
                  <c:v>222728</c:v>
                </c:pt>
              </c:numCache>
            </c:numRef>
          </c:val>
        </c:ser>
        <c:dLbls>
          <c:dLblPos val="inEnd"/>
          <c:showLegendKey val="0"/>
          <c:showVal val="1"/>
          <c:showCatName val="0"/>
          <c:showSerName val="0"/>
          <c:showPercent val="0"/>
          <c:showBubbleSize val="0"/>
        </c:dLbls>
        <c:gapWidth val="100"/>
        <c:overlap val="-24"/>
        <c:axId val="394461592"/>
        <c:axId val="394461984"/>
      </c:barChart>
      <c:catAx>
        <c:axId val="39446159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4461984"/>
        <c:crosses val="autoZero"/>
        <c:auto val="1"/>
        <c:lblAlgn val="ctr"/>
        <c:lblOffset val="100"/>
        <c:noMultiLvlLbl val="0"/>
      </c:catAx>
      <c:valAx>
        <c:axId val="394461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4461592"/>
        <c:crosses val="autoZero"/>
        <c:crossBetween val="between"/>
      </c:valAx>
      <c:spPr>
        <a:noFill/>
        <a:ln>
          <a:noFill/>
        </a:ln>
        <a:effectLst/>
      </c:spPr>
    </c:plotArea>
    <c:legend>
      <c:legendPos val="r"/>
      <c:layout>
        <c:manualLayout>
          <c:xMode val="edge"/>
          <c:yMode val="edge"/>
          <c:x val="0.85463132688495569"/>
          <c:y val="6.1469159137818793E-2"/>
          <c:w val="0.13581377488298635"/>
          <c:h val="0.1304427042940854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92">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lumMod val="75000"/>
          </a:schemeClr>
        </a:solidFill>
      </a:ln>
    </cs:spPr>
  </cs:dataPoint>
  <cs:dataPoint3D>
    <cs:lnRef idx="0">
      <cs:styleClr val="auto"/>
    </cs:lnRef>
    <cs:fillRef idx="0">
      <cs:styleClr val="auto"/>
    </cs:fillRef>
    <cs:effectRef idx="0"/>
    <cs:fontRef idx="minor">
      <a:schemeClr val="tx1"/>
    </cs:fontRef>
    <cs:spPr>
      <a:solidFill>
        <a:schemeClr val="phClr"/>
      </a:solidFill>
      <a:ln>
        <a:solidFill>
          <a:schemeClr val="phClr">
            <a:lumMod val="75000"/>
          </a:schemeClr>
        </a:solidFill>
      </a:ln>
      <a:scene3d>
        <a:camera prst="orthographicFront"/>
        <a:lightRig rig="threePt" dir="t"/>
      </a:scene3d>
      <a:sp3d prstMaterial="translucentPowder"/>
    </cs:spPr>
  </cs:dataPoint3D>
  <cs:dataPointLine>
    <cs:lnRef idx="0">
      <cs:styleClr val="auto"/>
    </cs:lnRef>
    <cs:fillRef idx="0"/>
    <cs:effectRef idx="0"/>
    <cs:fontRef idx="minor">
      <a:schemeClr val="tx1"/>
    </cs:fontRef>
    <cs:spPr>
      <a:ln w="28575" cap="rnd">
        <a:solidFill>
          <a:schemeClr val="phClr">
            <a:alpha val="70000"/>
          </a:schemeClr>
        </a:solidFill>
        <a:round/>
      </a:ln>
    </cs:spPr>
  </cs:dataPointLine>
  <cs:dataPointMarker>
    <cs:lnRef idx="0">
      <cs:styleClr val="auto"/>
    </cs:lnRef>
    <cs:fillRef idx="0">
      <cs:styleClr val="auto"/>
    </cs:fillRef>
    <cs:effectRef idx="0"/>
    <cs:fontRef idx="minor">
      <a:schemeClr val="dk1"/>
    </cs:fontRef>
    <cs:spPr>
      <a:solidFill>
        <a:schemeClr val="phClr">
          <a:alpha val="70000"/>
        </a:schemeClr>
      </a:solidFill>
      <a:ln>
        <a:solidFill>
          <a:schemeClr val="phClr">
            <a:lumMod val="7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tx1"/>
    </cs:fontRef>
    <cs:spPr>
      <a:solidFill>
        <a:schemeClr val="lt1">
          <a:alpha val="27000"/>
        </a:schemeClr>
      </a:solidFill>
      <a:sp3d/>
    </cs:spPr>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0" kern="1200" cap="none" spc="5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tx1"/>
    </cs:fontRef>
    <cs:spPr>
      <a:sp3d/>
    </cs:spPr>
  </cs:wall>
</cs:chartStyle>
</file>

<file path=xl/charts/style3.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78740</xdr:colOff>
      <xdr:row>9</xdr:row>
      <xdr:rowOff>55155</xdr:rowOff>
    </xdr:from>
    <xdr:to>
      <xdr:col>6</xdr:col>
      <xdr:colOff>236220</xdr:colOff>
      <xdr:row>22</xdr:row>
      <xdr:rowOff>1815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525780</xdr:colOff>
      <xdr:row>9</xdr:row>
      <xdr:rowOff>50800</xdr:rowOff>
    </xdr:from>
    <xdr:to>
      <xdr:col>18</xdr:col>
      <xdr:colOff>441960</xdr:colOff>
      <xdr:row>21</xdr:row>
      <xdr:rowOff>160020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312420</xdr:colOff>
      <xdr:row>9</xdr:row>
      <xdr:rowOff>55880</xdr:rowOff>
    </xdr:from>
    <xdr:to>
      <xdr:col>12</xdr:col>
      <xdr:colOff>464820</xdr:colOff>
      <xdr:row>21</xdr:row>
      <xdr:rowOff>167640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43387</xdr:colOff>
      <xdr:row>22</xdr:row>
      <xdr:rowOff>52770</xdr:rowOff>
    </xdr:from>
    <xdr:to>
      <xdr:col>18</xdr:col>
      <xdr:colOff>449580</xdr:colOff>
      <xdr:row>40</xdr:row>
      <xdr:rowOff>80710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127000</xdr:colOff>
      <xdr:row>2</xdr:row>
      <xdr:rowOff>91440</xdr:rowOff>
    </xdr:from>
    <xdr:to>
      <xdr:col>3</xdr:col>
      <xdr:colOff>568960</xdr:colOff>
      <xdr:row>8</xdr:row>
      <xdr:rowOff>152400</xdr:rowOff>
    </xdr:to>
    <xdr:grpSp>
      <xdr:nvGrpSpPr>
        <xdr:cNvPr id="22" name="Group 21"/>
        <xdr:cNvGrpSpPr/>
      </xdr:nvGrpSpPr>
      <xdr:grpSpPr>
        <a:xfrm>
          <a:off x="127000" y="459302"/>
          <a:ext cx="2281270" cy="1164546"/>
          <a:chOff x="7277100" y="190500"/>
          <a:chExt cx="2011680" cy="967740"/>
        </a:xfrm>
      </xdr:grpSpPr>
      <xdr:sp macro="" textlink="">
        <xdr:nvSpPr>
          <xdr:cNvPr id="10" name="Rectangle 9"/>
          <xdr:cNvSpPr>
            <a:spLocks/>
          </xdr:cNvSpPr>
        </xdr:nvSpPr>
        <xdr:spPr>
          <a:xfrm>
            <a:off x="7246620" y="190500"/>
            <a:ext cx="2011680" cy="96774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19" name="Group 18"/>
          <xdr:cNvGrpSpPr/>
        </xdr:nvGrpSpPr>
        <xdr:grpSpPr>
          <a:xfrm>
            <a:off x="7299960" y="251460"/>
            <a:ext cx="1897380" cy="800100"/>
            <a:chOff x="7315200" y="236220"/>
            <a:chExt cx="1897380" cy="800100"/>
          </a:xfrm>
        </xdr:grpSpPr>
        <xdr:sp macro="" textlink="">
          <xdr:nvSpPr>
            <xdr:cNvPr id="11" name="TextBox 10"/>
            <xdr:cNvSpPr txBox="1"/>
          </xdr:nvSpPr>
          <xdr:spPr>
            <a:xfrm>
              <a:off x="7315200" y="236220"/>
              <a:ext cx="1897380" cy="2514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t>TOTAL SALES</a:t>
              </a:r>
            </a:p>
          </xdr:txBody>
        </xdr:sp>
        <xdr:sp macro="" textlink="$AL$4">
          <xdr:nvSpPr>
            <xdr:cNvPr id="12" name="TextBox 11"/>
            <xdr:cNvSpPr txBox="1"/>
          </xdr:nvSpPr>
          <xdr:spPr>
            <a:xfrm>
              <a:off x="7795260" y="716280"/>
              <a:ext cx="982980" cy="320040"/>
            </a:xfrm>
            <a:prstGeom prst="rect">
              <a:avLst/>
            </a:prstGeom>
            <a:solidFill>
              <a:schemeClr val="bg1">
                <a:lumMod val="85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fld id="{3CB65472-29B5-4016-B1A0-5A8BEB8EDA68}" type="TxLink">
                <a:rPr lang="en-US" sz="1600" b="0"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rPr>
                <a:pPr algn="ctr"/>
                <a:t>1395833</a:t>
              </a:fld>
              <a:endParaRPr lang="en-US" sz="1600" b="0" cap="none" spc="0">
                <a:ln w="0"/>
                <a:solidFill>
                  <a:schemeClr val="tx1"/>
                </a:solidFill>
                <a:effectLst>
                  <a:outerShdw blurRad="38100" dist="19050" dir="2700000" algn="tl" rotWithShape="0">
                    <a:schemeClr val="dk1">
                      <a:alpha val="40000"/>
                    </a:schemeClr>
                  </a:outerShdw>
                </a:effectLst>
              </a:endParaRPr>
            </a:p>
          </xdr:txBody>
        </xdr:sp>
      </xdr:grpSp>
    </xdr:grpSp>
    <xdr:clientData/>
  </xdr:twoCellAnchor>
  <xdr:twoCellAnchor>
    <xdr:from>
      <xdr:col>7</xdr:col>
      <xdr:colOff>370840</xdr:colOff>
      <xdr:row>2</xdr:row>
      <xdr:rowOff>66040</xdr:rowOff>
    </xdr:from>
    <xdr:to>
      <xdr:col>11</xdr:col>
      <xdr:colOff>43180</xdr:colOff>
      <xdr:row>8</xdr:row>
      <xdr:rowOff>149860</xdr:rowOff>
    </xdr:to>
    <xdr:grpSp>
      <xdr:nvGrpSpPr>
        <xdr:cNvPr id="24" name="Group 23"/>
        <xdr:cNvGrpSpPr/>
      </xdr:nvGrpSpPr>
      <xdr:grpSpPr>
        <a:xfrm>
          <a:off x="4662564" y="433902"/>
          <a:ext cx="2124754" cy="1187406"/>
          <a:chOff x="7269480" y="1341120"/>
          <a:chExt cx="2011680" cy="967740"/>
        </a:xfrm>
      </xdr:grpSpPr>
      <xdr:grpSp>
        <xdr:nvGrpSpPr>
          <xdr:cNvPr id="23" name="Group 22"/>
          <xdr:cNvGrpSpPr/>
        </xdr:nvGrpSpPr>
        <xdr:grpSpPr>
          <a:xfrm>
            <a:off x="7269480" y="1341120"/>
            <a:ext cx="2011680" cy="967740"/>
            <a:chOff x="7292340" y="1363980"/>
            <a:chExt cx="2011680" cy="967740"/>
          </a:xfrm>
        </xdr:grpSpPr>
        <xdr:sp macro="" textlink="">
          <xdr:nvSpPr>
            <xdr:cNvPr id="13" name="Rectangle 12"/>
            <xdr:cNvSpPr/>
          </xdr:nvSpPr>
          <xdr:spPr>
            <a:xfrm>
              <a:off x="7292340" y="1363980"/>
              <a:ext cx="2011680" cy="967740"/>
            </a:xfrm>
            <a:prstGeom prst="rect">
              <a:avLst/>
            </a:prstGeom>
            <a:ln>
              <a:solidFill>
                <a:schemeClr val="accent1">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4" name="TextBox 13"/>
            <xdr:cNvSpPr txBox="1"/>
          </xdr:nvSpPr>
          <xdr:spPr>
            <a:xfrm>
              <a:off x="7330440" y="1417320"/>
              <a:ext cx="1927860" cy="281940"/>
            </a:xfrm>
            <a:prstGeom prst="rect">
              <a:avLst/>
            </a:prstGeom>
            <a:solidFill>
              <a:schemeClr val="lt1"/>
            </a:solidFill>
            <a:ln w="9525" cmpd="sng">
              <a:solidFill>
                <a:schemeClr val="accent1">
                  <a:lumMod val="20000"/>
                  <a:lumOff val="8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400" b="1">
                  <a:solidFill>
                    <a:schemeClr val="dk1"/>
                  </a:solidFill>
                  <a:latin typeface="+mn-lt"/>
                  <a:ea typeface="+mn-ea"/>
                  <a:cs typeface="+mn-cs"/>
                </a:rPr>
                <a:t>TOTAL PROFIT</a:t>
              </a:r>
            </a:p>
          </xdr:txBody>
        </xdr:sp>
      </xdr:grpSp>
      <xdr:sp macro="" textlink="$AL$5">
        <xdr:nvSpPr>
          <xdr:cNvPr id="15" name="TextBox 14"/>
          <xdr:cNvSpPr txBox="1"/>
        </xdr:nvSpPr>
        <xdr:spPr>
          <a:xfrm>
            <a:off x="7734300" y="1844040"/>
            <a:ext cx="1104900" cy="281940"/>
          </a:xfrm>
          <a:prstGeom prst="rect">
            <a:avLst/>
          </a:prstGeom>
          <a:solidFill>
            <a:schemeClr val="bg1">
              <a:lumMod val="85000"/>
            </a:schemeClr>
          </a:solidFill>
          <a:ln>
            <a:solidFill>
              <a:schemeClr val="accent1">
                <a:lumMod val="20000"/>
                <a:lumOff val="80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marL="0" indent="0" algn="ctr"/>
            <a:fld id="{EDED50F5-3D48-4E63-BF2C-9F2488A553F9}" type="TxLink">
              <a:rPr lang="en-US" sz="1600" b="0"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rPr>
              <a:pPr marL="0" indent="0" algn="ctr"/>
              <a:t>340736</a:t>
            </a:fld>
            <a:endParaRPr lang="en-US" sz="1600" b="0"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endParaRPr>
          </a:p>
        </xdr:txBody>
      </xdr:sp>
    </xdr:grpSp>
    <xdr:clientData/>
  </xdr:twoCellAnchor>
  <xdr:twoCellAnchor>
    <xdr:from>
      <xdr:col>3</xdr:col>
      <xdr:colOff>591820</xdr:colOff>
      <xdr:row>2</xdr:row>
      <xdr:rowOff>81280</xdr:rowOff>
    </xdr:from>
    <xdr:to>
      <xdr:col>7</xdr:col>
      <xdr:colOff>332740</xdr:colOff>
      <xdr:row>8</xdr:row>
      <xdr:rowOff>149860</xdr:rowOff>
    </xdr:to>
    <xdr:grpSp>
      <xdr:nvGrpSpPr>
        <xdr:cNvPr id="26" name="Group 25"/>
        <xdr:cNvGrpSpPr/>
      </xdr:nvGrpSpPr>
      <xdr:grpSpPr>
        <a:xfrm>
          <a:off x="2431130" y="449142"/>
          <a:ext cx="2193334" cy="1172166"/>
          <a:chOff x="7315200" y="2575560"/>
          <a:chExt cx="2011680" cy="967740"/>
        </a:xfrm>
      </xdr:grpSpPr>
      <xdr:grpSp>
        <xdr:nvGrpSpPr>
          <xdr:cNvPr id="25" name="Group 24"/>
          <xdr:cNvGrpSpPr/>
        </xdr:nvGrpSpPr>
        <xdr:grpSpPr>
          <a:xfrm>
            <a:off x="7315200" y="2575560"/>
            <a:ext cx="2011680" cy="967740"/>
            <a:chOff x="7307580" y="2560320"/>
            <a:chExt cx="2011680" cy="967740"/>
          </a:xfrm>
        </xdr:grpSpPr>
        <xdr:sp macro="" textlink="">
          <xdr:nvSpPr>
            <xdr:cNvPr id="16" name="Rectangle 15"/>
            <xdr:cNvSpPr/>
          </xdr:nvSpPr>
          <xdr:spPr>
            <a:xfrm>
              <a:off x="7307580" y="2560320"/>
              <a:ext cx="2011680" cy="96774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7" name="TextBox 16"/>
            <xdr:cNvSpPr txBox="1"/>
          </xdr:nvSpPr>
          <xdr:spPr>
            <a:xfrm>
              <a:off x="7345680" y="2606040"/>
              <a:ext cx="1935480" cy="2743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dk1"/>
                  </a:solidFill>
                  <a:latin typeface="+mn-lt"/>
                  <a:ea typeface="+mn-ea"/>
                  <a:cs typeface="+mn-cs"/>
                </a:rPr>
                <a:t>      TOTAL ORDERS</a:t>
              </a:r>
            </a:p>
          </xdr:txBody>
        </xdr:sp>
      </xdr:grpSp>
      <xdr:sp macro="" textlink="$AL$6">
        <xdr:nvSpPr>
          <xdr:cNvPr id="18" name="TextBox 17"/>
          <xdr:cNvSpPr txBox="1"/>
        </xdr:nvSpPr>
        <xdr:spPr>
          <a:xfrm>
            <a:off x="7719060" y="3070860"/>
            <a:ext cx="1135380" cy="274320"/>
          </a:xfrm>
          <a:prstGeom prst="rect">
            <a:avLst/>
          </a:prstGeom>
          <a:solidFill>
            <a:schemeClr val="bg1">
              <a:lumMod val="85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marL="0" indent="0" algn="ctr"/>
            <a:fld id="{4743629C-E05A-4F29-9F87-C92BB4A6E73C}" type="TxLink">
              <a:rPr lang="en-US" sz="1800" b="0"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rPr>
              <a:pPr marL="0" indent="0" algn="ctr"/>
              <a:t>500</a:t>
            </a:fld>
            <a:endParaRPr lang="en-US" sz="1800" b="0"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endParaRPr>
          </a:p>
        </xdr:txBody>
      </xdr:sp>
    </xdr:grpSp>
    <xdr:clientData/>
  </xdr:twoCellAnchor>
  <xdr:twoCellAnchor editAs="oneCell">
    <xdr:from>
      <xdr:col>11</xdr:col>
      <xdr:colOff>83820</xdr:colOff>
      <xdr:row>2</xdr:row>
      <xdr:rowOff>71121</xdr:rowOff>
    </xdr:from>
    <xdr:to>
      <xdr:col>15</xdr:col>
      <xdr:colOff>53340</xdr:colOff>
      <xdr:row>8</xdr:row>
      <xdr:rowOff>147320</xdr:rowOff>
    </xdr:to>
    <mc:AlternateContent xmlns:mc="http://schemas.openxmlformats.org/markup-compatibility/2006">
      <mc:Choice xmlns:a14="http://schemas.microsoft.com/office/drawing/2010/main" Requires="a14">
        <xdr:graphicFrame macro="">
          <xdr:nvGraphicFramePr>
            <xdr:cNvPr id="27" name="Region 1"/>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6827958" y="438983"/>
              <a:ext cx="2421934" cy="11797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99060</xdr:colOff>
      <xdr:row>2</xdr:row>
      <xdr:rowOff>63864</xdr:rowOff>
    </xdr:from>
    <xdr:to>
      <xdr:col>18</xdr:col>
      <xdr:colOff>396240</xdr:colOff>
      <xdr:row>8</xdr:row>
      <xdr:rowOff>144780</xdr:rowOff>
    </xdr:to>
    <mc:AlternateContent xmlns:mc="http://schemas.openxmlformats.org/markup-compatibility/2006">
      <mc:Choice xmlns:a14="http://schemas.microsoft.com/office/drawing/2010/main" Requires="a14">
        <xdr:graphicFrame macro="">
          <xdr:nvGraphicFramePr>
            <xdr:cNvPr id="28"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9295612" y="431726"/>
              <a:ext cx="2136490" cy="118450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30480</xdr:colOff>
      <xdr:row>40</xdr:row>
      <xdr:rowOff>167640</xdr:rowOff>
    </xdr:from>
    <xdr:to>
      <xdr:col>18</xdr:col>
      <xdr:colOff>441960</xdr:colOff>
      <xdr:row>46</xdr:row>
      <xdr:rowOff>60960</xdr:rowOff>
    </xdr:to>
    <xdr:sp macro="" textlink="">
      <xdr:nvSpPr>
        <xdr:cNvPr id="29" name="TextBox 28"/>
        <xdr:cNvSpPr txBox="1"/>
      </xdr:nvSpPr>
      <xdr:spPr>
        <a:xfrm>
          <a:off x="30480" y="7482840"/>
          <a:ext cx="11384280" cy="990600"/>
        </a:xfrm>
        <a:prstGeom prst="rect">
          <a:avLst/>
        </a:prstGeom>
        <a:gradFill>
          <a:gsLst>
            <a:gs pos="0">
              <a:schemeClr val="accent1">
                <a:tint val="70000"/>
                <a:satMod val="100000"/>
                <a:lumMod val="110000"/>
                <a:alpha val="54000"/>
              </a:schemeClr>
            </a:gs>
            <a:gs pos="50000">
              <a:schemeClr val="accent1">
                <a:tint val="75000"/>
                <a:satMod val="101000"/>
                <a:lumMod val="105000"/>
              </a:schemeClr>
            </a:gs>
            <a:gs pos="100000">
              <a:schemeClr val="accent1">
                <a:tint val="82000"/>
                <a:satMod val="104000"/>
                <a:lumMod val="105000"/>
              </a:schemeClr>
            </a:gs>
          </a:gsLst>
          <a:lin ang="2700000" scaled="0"/>
        </a:gradFill>
        <a:ln/>
      </xdr:spPr>
      <xdr:style>
        <a:lnRef idx="1">
          <a:schemeClr val="accent1"/>
        </a:lnRef>
        <a:fillRef idx="2">
          <a:schemeClr val="accent1"/>
        </a:fillRef>
        <a:effectRef idx="1">
          <a:schemeClr val="accent1"/>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buFont typeface="Wingdings" panose="05000000000000000000" pitchFamily="2" charset="2"/>
            <a:buNone/>
          </a:pPr>
          <a:r>
            <a:rPr lang="en-US" sz="1400">
              <a:solidFill>
                <a:schemeClr val="dk1"/>
              </a:solidFill>
              <a:effectLst/>
              <a:latin typeface="+mn-lt"/>
              <a:ea typeface="+mn-ea"/>
              <a:cs typeface="+mn-cs"/>
            </a:rPr>
            <a:t>KEY INSIGHTS</a:t>
          </a:r>
        </a:p>
        <a:p>
          <a:pPr marL="171450" indent="-171450">
            <a:buFont typeface="Wingdings" panose="05000000000000000000" pitchFamily="2" charset="2"/>
            <a:buChar char="ü"/>
          </a:pPr>
          <a:r>
            <a:rPr lang="en-US" sz="1400">
              <a:solidFill>
                <a:schemeClr val="dk1"/>
              </a:solidFill>
              <a:effectLst/>
              <a:latin typeface="+mn-lt"/>
              <a:ea typeface="+mn-ea"/>
              <a:cs typeface="+mn-cs"/>
            </a:rPr>
            <a:t>West region has highest sales</a:t>
          </a:r>
          <a:endParaRPr lang="en-US" sz="2000">
            <a:effectLst/>
          </a:endParaRPr>
        </a:p>
        <a:p>
          <a:pPr marL="171450" indent="-171450">
            <a:buFont typeface="Wingdings" panose="05000000000000000000" pitchFamily="2" charset="2"/>
            <a:buChar char="ü"/>
          </a:pPr>
          <a:r>
            <a:rPr lang="en-US" sz="1400">
              <a:solidFill>
                <a:schemeClr val="dk1"/>
              </a:solidFill>
              <a:effectLst/>
              <a:latin typeface="+mn-lt"/>
              <a:ea typeface="+mn-ea"/>
              <a:cs typeface="+mn-cs"/>
            </a:rPr>
            <a:t>Technology category generates most revenue</a:t>
          </a:r>
          <a:endParaRPr lang="en-US" sz="2000">
            <a:effectLst/>
          </a:endParaRPr>
        </a:p>
        <a:p>
          <a:pPr marL="171450" indent="-171450">
            <a:buFont typeface="Wingdings" panose="05000000000000000000" pitchFamily="2" charset="2"/>
            <a:buChar char="ü"/>
          </a:pPr>
          <a:r>
            <a:rPr lang="en-US" sz="1400">
              <a:solidFill>
                <a:schemeClr val="dk1"/>
              </a:solidFill>
              <a:effectLst/>
              <a:latin typeface="+mn-lt"/>
              <a:ea typeface="+mn-ea"/>
              <a:cs typeface="+mn-cs"/>
            </a:rPr>
            <a:t>Sales dip observed mid-year</a:t>
          </a:r>
          <a:endParaRPr lang="en-US" sz="1600" b="1" u="sng">
            <a:solidFill>
              <a:schemeClr val="tx1"/>
            </a:solidFill>
            <a:latin typeface="+mn-lt"/>
            <a:ea typeface="+mn-ea"/>
            <a:cs typeface="+mn-cs"/>
          </a:endParaRPr>
        </a:p>
      </xdr:txBody>
    </xdr:sp>
    <xdr:clientData/>
  </xdr:twoCellAnchor>
  <xdr:twoCellAnchor>
    <xdr:from>
      <xdr:col>0</xdr:col>
      <xdr:colOff>55418</xdr:colOff>
      <xdr:row>0</xdr:row>
      <xdr:rowOff>38100</xdr:rowOff>
    </xdr:from>
    <xdr:to>
      <xdr:col>18</xdr:col>
      <xdr:colOff>415636</xdr:colOff>
      <xdr:row>2</xdr:row>
      <xdr:rowOff>22860</xdr:rowOff>
    </xdr:to>
    <xdr:sp macro="" textlink="">
      <xdr:nvSpPr>
        <xdr:cNvPr id="6" name="TextBox 5"/>
        <xdr:cNvSpPr txBox="1"/>
      </xdr:nvSpPr>
      <xdr:spPr>
        <a:xfrm>
          <a:off x="55418" y="38100"/>
          <a:ext cx="11333018" cy="3505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t>E-COMMERCE SALES</a:t>
          </a:r>
          <a:r>
            <a:rPr lang="en-US" sz="1800" b="1" baseline="0"/>
            <a:t> ANALYSIS</a:t>
          </a:r>
        </a:p>
        <a:p>
          <a:pPr algn="ctr"/>
          <a:endParaRPr lang="en-US" sz="1800" b="1" baseline="0"/>
        </a:p>
        <a:p>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dmin" refreshedDate="46140.759468634256" createdVersion="5" refreshedVersion="5" minRefreshableVersion="3" recordCount="500">
  <cacheSource type="worksheet">
    <worksheetSource name="orders"/>
  </cacheSource>
  <cacheFields count="11">
    <cacheField name="Order_ID" numFmtId="0">
      <sharedItems containsSemiMixedTypes="0" containsString="0" containsNumber="1" containsInteger="1" minValue="1000" maxValue="1499"/>
    </cacheField>
    <cacheField name="Order_Date" numFmtId="14">
      <sharedItems containsSemiMixedTypes="0" containsNonDate="0" containsDate="1" containsString="0" minDate="2023-01-01T00:00:00" maxDate="2024-05-15T00:00:00"/>
    </cacheField>
    <cacheField name="Region" numFmtId="0">
      <sharedItems count="4">
        <s v="North"/>
        <s v="West"/>
        <s v="South"/>
        <s v="East"/>
      </sharedItems>
    </cacheField>
    <cacheField name="Category" numFmtId="0">
      <sharedItems count="3">
        <s v="Technology"/>
        <s v="Office Supplies"/>
        <s v="Furniture"/>
      </sharedItems>
    </cacheField>
    <cacheField name="Product_Name" numFmtId="0">
      <sharedItems count="6">
        <s v="Laptop"/>
        <s v="Chair"/>
        <s v="Pen"/>
        <s v="Phone"/>
        <s v="Desk"/>
        <s v="Printer"/>
      </sharedItems>
    </cacheField>
    <cacheField name="Sales" numFmtId="0">
      <sharedItems containsSemiMixedTypes="0" containsString="0" containsNumber="1" containsInteger="1" minValue="519" maxValue="4996"/>
    </cacheField>
    <cacheField name="Cost" numFmtId="0">
      <sharedItems containsSemiMixedTypes="0" containsString="0" containsNumber="1" containsInteger="1" minValue="208" maxValue="3997"/>
    </cacheField>
    <cacheField name="Customer_Name" numFmtId="0">
      <sharedItems/>
    </cacheField>
    <cacheField name="Profit" numFmtId="2">
      <sharedItems containsSemiMixedTypes="0" containsString="0" containsNumber="1" containsInteger="1" minValue="-3160" maxValue="4559"/>
    </cacheField>
    <cacheField name="Month" numFmtId="0">
      <sharedItems count="12">
        <s v="Jan"/>
        <s v="Feb"/>
        <s v="Mar"/>
        <s v="Apr"/>
        <s v="May"/>
        <s v="Jun"/>
        <s v="Jul"/>
        <s v="Aug"/>
        <s v="Sep"/>
        <s v="Oct"/>
        <s v="Nov"/>
        <s v="Dec"/>
      </sharedItems>
    </cacheField>
    <cacheField name="Year" numFmtId="0">
      <sharedItems containsSemiMixedTypes="0" containsString="0" containsNumber="1" containsInteger="1" minValue="2023" maxValue="2024"/>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500">
  <r>
    <n v="1000"/>
    <d v="2023-01-01T00:00:00"/>
    <x v="0"/>
    <x v="0"/>
    <x v="0"/>
    <n v="4677"/>
    <n v="641"/>
    <s v="Sneha"/>
    <n v="4036"/>
    <x v="0"/>
    <n v="2023"/>
  </r>
  <r>
    <n v="1001"/>
    <d v="2023-01-02T00:00:00"/>
    <x v="1"/>
    <x v="0"/>
    <x v="0"/>
    <n v="3488"/>
    <n v="2828"/>
    <s v="Amit"/>
    <n v="660"/>
    <x v="0"/>
    <n v="2023"/>
  </r>
  <r>
    <n v="1002"/>
    <d v="2023-01-03T00:00:00"/>
    <x v="2"/>
    <x v="1"/>
    <x v="1"/>
    <n v="2586"/>
    <n v="1200"/>
    <s v="Vikas"/>
    <n v="1386"/>
    <x v="0"/>
    <n v="2023"/>
  </r>
  <r>
    <n v="1003"/>
    <d v="2023-01-04T00:00:00"/>
    <x v="0"/>
    <x v="2"/>
    <x v="2"/>
    <n v="862"/>
    <n v="992"/>
    <s v="Rahul"/>
    <n v="-130"/>
    <x v="0"/>
    <n v="2023"/>
  </r>
  <r>
    <n v="1004"/>
    <d v="2023-01-05T00:00:00"/>
    <x v="1"/>
    <x v="2"/>
    <x v="1"/>
    <n v="2403"/>
    <n v="2590"/>
    <s v="Amit"/>
    <n v="-187"/>
    <x v="0"/>
    <n v="2023"/>
  </r>
  <r>
    <n v="1005"/>
    <d v="2023-01-06T00:00:00"/>
    <x v="1"/>
    <x v="1"/>
    <x v="1"/>
    <n v="4367"/>
    <n v="2521"/>
    <s v="Amit"/>
    <n v="1846"/>
    <x v="0"/>
    <n v="2023"/>
  </r>
  <r>
    <n v="1006"/>
    <d v="2023-01-07T00:00:00"/>
    <x v="1"/>
    <x v="1"/>
    <x v="3"/>
    <n v="1959"/>
    <n v="3746"/>
    <s v="Sneha"/>
    <n v="-1787"/>
    <x v="0"/>
    <n v="2023"/>
  </r>
  <r>
    <n v="1007"/>
    <d v="2023-01-08T00:00:00"/>
    <x v="1"/>
    <x v="2"/>
    <x v="1"/>
    <n v="2954"/>
    <n v="3920"/>
    <s v="Rahul"/>
    <n v="-966"/>
    <x v="0"/>
    <n v="2023"/>
  </r>
  <r>
    <n v="1008"/>
    <d v="2023-01-09T00:00:00"/>
    <x v="2"/>
    <x v="0"/>
    <x v="3"/>
    <n v="3225"/>
    <n v="3021"/>
    <s v="Vikas"/>
    <n v="204"/>
    <x v="0"/>
    <n v="2023"/>
  </r>
  <r>
    <n v="1009"/>
    <d v="2023-01-10T00:00:00"/>
    <x v="1"/>
    <x v="1"/>
    <x v="0"/>
    <n v="1042"/>
    <n v="1449"/>
    <s v="Vikas"/>
    <n v="-407"/>
    <x v="0"/>
    <n v="2023"/>
  </r>
  <r>
    <n v="1010"/>
    <d v="2023-01-11T00:00:00"/>
    <x v="2"/>
    <x v="0"/>
    <x v="3"/>
    <n v="2299"/>
    <n v="542"/>
    <s v="Vikas"/>
    <n v="1757"/>
    <x v="0"/>
    <n v="2023"/>
  </r>
  <r>
    <n v="1011"/>
    <d v="2023-01-12T00:00:00"/>
    <x v="3"/>
    <x v="1"/>
    <x v="4"/>
    <n v="739"/>
    <n v="450"/>
    <s v="Sneha"/>
    <n v="289"/>
    <x v="0"/>
    <n v="2023"/>
  </r>
  <r>
    <n v="1012"/>
    <d v="2023-01-13T00:00:00"/>
    <x v="0"/>
    <x v="0"/>
    <x v="2"/>
    <n v="2942"/>
    <n v="3866"/>
    <s v="Rahul"/>
    <n v="-924"/>
    <x v="0"/>
    <n v="2023"/>
  </r>
  <r>
    <n v="1013"/>
    <d v="2023-01-14T00:00:00"/>
    <x v="1"/>
    <x v="1"/>
    <x v="5"/>
    <n v="3393"/>
    <n v="2002"/>
    <s v="Rahul"/>
    <n v="1391"/>
    <x v="0"/>
    <n v="2023"/>
  </r>
  <r>
    <n v="1014"/>
    <d v="2023-01-15T00:00:00"/>
    <x v="3"/>
    <x v="2"/>
    <x v="0"/>
    <n v="2438"/>
    <n v="2822"/>
    <s v="Amit"/>
    <n v="-384"/>
    <x v="0"/>
    <n v="2023"/>
  </r>
  <r>
    <n v="1015"/>
    <d v="2023-01-16T00:00:00"/>
    <x v="0"/>
    <x v="1"/>
    <x v="4"/>
    <n v="560"/>
    <n v="1765"/>
    <s v="Priya"/>
    <n v="-1205"/>
    <x v="0"/>
    <n v="2023"/>
  </r>
  <r>
    <n v="1016"/>
    <d v="2023-01-17T00:00:00"/>
    <x v="0"/>
    <x v="2"/>
    <x v="5"/>
    <n v="524"/>
    <n v="339"/>
    <s v="Rahul"/>
    <n v="185"/>
    <x v="0"/>
    <n v="2023"/>
  </r>
  <r>
    <n v="1017"/>
    <d v="2023-01-18T00:00:00"/>
    <x v="0"/>
    <x v="0"/>
    <x v="4"/>
    <n v="4756"/>
    <n v="2406"/>
    <s v="Vikas"/>
    <n v="2350"/>
    <x v="0"/>
    <n v="2023"/>
  </r>
  <r>
    <n v="1018"/>
    <d v="2023-01-19T00:00:00"/>
    <x v="3"/>
    <x v="2"/>
    <x v="5"/>
    <n v="3936"/>
    <n v="527"/>
    <s v="Vikas"/>
    <n v="3409"/>
    <x v="0"/>
    <n v="2023"/>
  </r>
  <r>
    <n v="1019"/>
    <d v="2023-01-20T00:00:00"/>
    <x v="2"/>
    <x v="2"/>
    <x v="5"/>
    <n v="867"/>
    <n v="3842"/>
    <s v="Priya"/>
    <n v="-2975"/>
    <x v="0"/>
    <n v="2023"/>
  </r>
  <r>
    <n v="1020"/>
    <d v="2023-01-21T00:00:00"/>
    <x v="3"/>
    <x v="1"/>
    <x v="1"/>
    <n v="4712"/>
    <n v="1190"/>
    <s v="Priya"/>
    <n v="3522"/>
    <x v="0"/>
    <n v="2023"/>
  </r>
  <r>
    <n v="1021"/>
    <d v="2023-01-22T00:00:00"/>
    <x v="1"/>
    <x v="1"/>
    <x v="4"/>
    <n v="2520"/>
    <n v="2290"/>
    <s v="Amit"/>
    <n v="230"/>
    <x v="0"/>
    <n v="2023"/>
  </r>
  <r>
    <n v="1022"/>
    <d v="2023-01-23T00:00:00"/>
    <x v="1"/>
    <x v="0"/>
    <x v="2"/>
    <n v="4612"/>
    <n v="2575"/>
    <s v="Amit"/>
    <n v="2037"/>
    <x v="0"/>
    <n v="2023"/>
  </r>
  <r>
    <n v="1023"/>
    <d v="2023-01-24T00:00:00"/>
    <x v="3"/>
    <x v="2"/>
    <x v="4"/>
    <n v="4572"/>
    <n v="865"/>
    <s v="Sneha"/>
    <n v="3707"/>
    <x v="0"/>
    <n v="2023"/>
  </r>
  <r>
    <n v="1024"/>
    <d v="2023-01-25T00:00:00"/>
    <x v="0"/>
    <x v="0"/>
    <x v="0"/>
    <n v="2756"/>
    <n v="692"/>
    <s v="Vikas"/>
    <n v="2064"/>
    <x v="0"/>
    <n v="2023"/>
  </r>
  <r>
    <n v="1025"/>
    <d v="2023-01-26T00:00:00"/>
    <x v="2"/>
    <x v="0"/>
    <x v="2"/>
    <n v="1314"/>
    <n v="1022"/>
    <s v="Sneha"/>
    <n v="292"/>
    <x v="0"/>
    <n v="2023"/>
  </r>
  <r>
    <n v="1026"/>
    <d v="2023-01-27T00:00:00"/>
    <x v="2"/>
    <x v="0"/>
    <x v="3"/>
    <n v="3154"/>
    <n v="1342"/>
    <s v="Vikas"/>
    <n v="1812"/>
    <x v="0"/>
    <n v="2023"/>
  </r>
  <r>
    <n v="1027"/>
    <d v="2023-01-28T00:00:00"/>
    <x v="2"/>
    <x v="1"/>
    <x v="2"/>
    <n v="2376"/>
    <n v="539"/>
    <s v="Sneha"/>
    <n v="1837"/>
    <x v="0"/>
    <n v="2023"/>
  </r>
  <r>
    <n v="1028"/>
    <d v="2023-01-29T00:00:00"/>
    <x v="2"/>
    <x v="0"/>
    <x v="2"/>
    <n v="4363"/>
    <n v="2273"/>
    <s v="Amit"/>
    <n v="2090"/>
    <x v="0"/>
    <n v="2023"/>
  </r>
  <r>
    <n v="1029"/>
    <d v="2023-01-30T00:00:00"/>
    <x v="0"/>
    <x v="2"/>
    <x v="2"/>
    <n v="4227"/>
    <n v="2421"/>
    <s v="Rahul"/>
    <n v="1806"/>
    <x v="0"/>
    <n v="2023"/>
  </r>
  <r>
    <n v="1030"/>
    <d v="2023-01-31T00:00:00"/>
    <x v="2"/>
    <x v="0"/>
    <x v="4"/>
    <n v="4768"/>
    <n v="1601"/>
    <s v="Priya"/>
    <n v="3167"/>
    <x v="0"/>
    <n v="2023"/>
  </r>
  <r>
    <n v="1031"/>
    <d v="2023-02-01T00:00:00"/>
    <x v="0"/>
    <x v="1"/>
    <x v="4"/>
    <n v="2091"/>
    <n v="690"/>
    <s v="Vikas"/>
    <n v="1401"/>
    <x v="1"/>
    <n v="2023"/>
  </r>
  <r>
    <n v="1032"/>
    <d v="2023-02-02T00:00:00"/>
    <x v="1"/>
    <x v="2"/>
    <x v="0"/>
    <n v="3983"/>
    <n v="3403"/>
    <s v="Amit"/>
    <n v="580"/>
    <x v="1"/>
    <n v="2023"/>
  </r>
  <r>
    <n v="1033"/>
    <d v="2023-02-03T00:00:00"/>
    <x v="0"/>
    <x v="0"/>
    <x v="0"/>
    <n v="4299"/>
    <n v="1084"/>
    <s v="Amit"/>
    <n v="3215"/>
    <x v="1"/>
    <n v="2023"/>
  </r>
  <r>
    <n v="1034"/>
    <d v="2023-02-04T00:00:00"/>
    <x v="1"/>
    <x v="2"/>
    <x v="1"/>
    <n v="4161"/>
    <n v="3228"/>
    <s v="Amit"/>
    <n v="933"/>
    <x v="1"/>
    <n v="2023"/>
  </r>
  <r>
    <n v="1035"/>
    <d v="2023-02-05T00:00:00"/>
    <x v="2"/>
    <x v="1"/>
    <x v="2"/>
    <n v="932"/>
    <n v="1051"/>
    <s v="Sneha"/>
    <n v="-119"/>
    <x v="1"/>
    <n v="2023"/>
  </r>
  <r>
    <n v="1036"/>
    <d v="2023-02-06T00:00:00"/>
    <x v="3"/>
    <x v="0"/>
    <x v="3"/>
    <n v="2507"/>
    <n v="2497"/>
    <s v="Priya"/>
    <n v="10"/>
    <x v="1"/>
    <n v="2023"/>
  </r>
  <r>
    <n v="1037"/>
    <d v="2023-02-07T00:00:00"/>
    <x v="1"/>
    <x v="0"/>
    <x v="3"/>
    <n v="3410"/>
    <n v="2797"/>
    <s v="Amit"/>
    <n v="613"/>
    <x v="1"/>
    <n v="2023"/>
  </r>
  <r>
    <n v="1038"/>
    <d v="2023-02-08T00:00:00"/>
    <x v="1"/>
    <x v="0"/>
    <x v="1"/>
    <n v="877"/>
    <n v="2409"/>
    <s v="Sneha"/>
    <n v="-1532"/>
    <x v="1"/>
    <n v="2023"/>
  </r>
  <r>
    <n v="1039"/>
    <d v="2023-02-09T00:00:00"/>
    <x v="0"/>
    <x v="1"/>
    <x v="2"/>
    <n v="4827"/>
    <n v="2692"/>
    <s v="Amit"/>
    <n v="2135"/>
    <x v="1"/>
    <n v="2023"/>
  </r>
  <r>
    <n v="1040"/>
    <d v="2023-02-10T00:00:00"/>
    <x v="3"/>
    <x v="2"/>
    <x v="2"/>
    <n v="1381"/>
    <n v="1076"/>
    <s v="Sneha"/>
    <n v="305"/>
    <x v="1"/>
    <n v="2023"/>
  </r>
  <r>
    <n v="1041"/>
    <d v="2023-02-11T00:00:00"/>
    <x v="1"/>
    <x v="0"/>
    <x v="2"/>
    <n v="2320"/>
    <n v="1743"/>
    <s v="Rahul"/>
    <n v="577"/>
    <x v="1"/>
    <n v="2023"/>
  </r>
  <r>
    <n v="1042"/>
    <d v="2023-02-12T00:00:00"/>
    <x v="0"/>
    <x v="0"/>
    <x v="0"/>
    <n v="3816"/>
    <n v="3204"/>
    <s v="Sneha"/>
    <n v="612"/>
    <x v="1"/>
    <n v="2023"/>
  </r>
  <r>
    <n v="1043"/>
    <d v="2023-02-13T00:00:00"/>
    <x v="2"/>
    <x v="0"/>
    <x v="0"/>
    <n v="2616"/>
    <n v="2413"/>
    <s v="Vikas"/>
    <n v="203"/>
    <x v="1"/>
    <n v="2023"/>
  </r>
  <r>
    <n v="1044"/>
    <d v="2023-02-14T00:00:00"/>
    <x v="1"/>
    <x v="0"/>
    <x v="0"/>
    <n v="3004"/>
    <n v="3868"/>
    <s v="Priya"/>
    <n v="-864"/>
    <x v="1"/>
    <n v="2023"/>
  </r>
  <r>
    <n v="1045"/>
    <d v="2023-02-15T00:00:00"/>
    <x v="2"/>
    <x v="2"/>
    <x v="4"/>
    <n v="870"/>
    <n v="3266"/>
    <s v="Sneha"/>
    <n v="-2396"/>
    <x v="1"/>
    <n v="2023"/>
  </r>
  <r>
    <n v="1046"/>
    <d v="2023-02-16T00:00:00"/>
    <x v="1"/>
    <x v="1"/>
    <x v="3"/>
    <n v="2084"/>
    <n v="554"/>
    <s v="Priya"/>
    <n v="1530"/>
    <x v="1"/>
    <n v="2023"/>
  </r>
  <r>
    <n v="1047"/>
    <d v="2023-02-17T00:00:00"/>
    <x v="1"/>
    <x v="1"/>
    <x v="3"/>
    <n v="2135"/>
    <n v="2520"/>
    <s v="Sneha"/>
    <n v="-385"/>
    <x v="1"/>
    <n v="2023"/>
  </r>
  <r>
    <n v="1048"/>
    <d v="2023-02-18T00:00:00"/>
    <x v="3"/>
    <x v="2"/>
    <x v="5"/>
    <n v="2619"/>
    <n v="1909"/>
    <s v="Priya"/>
    <n v="710"/>
    <x v="1"/>
    <n v="2023"/>
  </r>
  <r>
    <n v="1049"/>
    <d v="2023-02-19T00:00:00"/>
    <x v="1"/>
    <x v="0"/>
    <x v="5"/>
    <n v="3061"/>
    <n v="1712"/>
    <s v="Rahul"/>
    <n v="1349"/>
    <x v="1"/>
    <n v="2023"/>
  </r>
  <r>
    <n v="1050"/>
    <d v="2023-02-20T00:00:00"/>
    <x v="0"/>
    <x v="2"/>
    <x v="4"/>
    <n v="629"/>
    <n v="3439"/>
    <s v="Vikas"/>
    <n v="-2810"/>
    <x v="1"/>
    <n v="2023"/>
  </r>
  <r>
    <n v="1051"/>
    <d v="2023-02-21T00:00:00"/>
    <x v="2"/>
    <x v="2"/>
    <x v="4"/>
    <n v="4795"/>
    <n v="3817"/>
    <s v="Vikas"/>
    <n v="978"/>
    <x v="1"/>
    <n v="2023"/>
  </r>
  <r>
    <n v="1052"/>
    <d v="2023-02-22T00:00:00"/>
    <x v="2"/>
    <x v="2"/>
    <x v="3"/>
    <n v="4237"/>
    <n v="2057"/>
    <s v="Vikas"/>
    <n v="2180"/>
    <x v="1"/>
    <n v="2023"/>
  </r>
  <r>
    <n v="1053"/>
    <d v="2023-02-23T00:00:00"/>
    <x v="2"/>
    <x v="2"/>
    <x v="2"/>
    <n v="1624"/>
    <n v="2449"/>
    <s v="Sneha"/>
    <n v="-825"/>
    <x v="1"/>
    <n v="2023"/>
  </r>
  <r>
    <n v="1054"/>
    <d v="2023-02-24T00:00:00"/>
    <x v="1"/>
    <x v="2"/>
    <x v="5"/>
    <n v="3137"/>
    <n v="2335"/>
    <s v="Vikas"/>
    <n v="802"/>
    <x v="1"/>
    <n v="2023"/>
  </r>
  <r>
    <n v="1055"/>
    <d v="2023-02-25T00:00:00"/>
    <x v="0"/>
    <x v="2"/>
    <x v="2"/>
    <n v="3750"/>
    <n v="1548"/>
    <s v="Amit"/>
    <n v="2202"/>
    <x v="1"/>
    <n v="2023"/>
  </r>
  <r>
    <n v="1056"/>
    <d v="2023-02-26T00:00:00"/>
    <x v="1"/>
    <x v="1"/>
    <x v="1"/>
    <n v="1935"/>
    <n v="2528"/>
    <s v="Amit"/>
    <n v="-593"/>
    <x v="1"/>
    <n v="2023"/>
  </r>
  <r>
    <n v="1057"/>
    <d v="2023-02-27T00:00:00"/>
    <x v="3"/>
    <x v="1"/>
    <x v="0"/>
    <n v="4692"/>
    <n v="1230"/>
    <s v="Vikas"/>
    <n v="3462"/>
    <x v="1"/>
    <n v="2023"/>
  </r>
  <r>
    <n v="1058"/>
    <d v="2023-02-28T00:00:00"/>
    <x v="0"/>
    <x v="2"/>
    <x v="3"/>
    <n v="2079"/>
    <n v="1594"/>
    <s v="Vikas"/>
    <n v="485"/>
    <x v="1"/>
    <n v="2023"/>
  </r>
  <r>
    <n v="1059"/>
    <d v="2023-03-01T00:00:00"/>
    <x v="1"/>
    <x v="2"/>
    <x v="1"/>
    <n v="4359"/>
    <n v="967"/>
    <s v="Sneha"/>
    <n v="3392"/>
    <x v="2"/>
    <n v="2023"/>
  </r>
  <r>
    <n v="1060"/>
    <d v="2023-03-02T00:00:00"/>
    <x v="1"/>
    <x v="2"/>
    <x v="4"/>
    <n v="1825"/>
    <n v="3844"/>
    <s v="Vikas"/>
    <n v="-2019"/>
    <x v="2"/>
    <n v="2023"/>
  </r>
  <r>
    <n v="1061"/>
    <d v="2023-03-03T00:00:00"/>
    <x v="3"/>
    <x v="1"/>
    <x v="0"/>
    <n v="600"/>
    <n v="3488"/>
    <s v="Priya"/>
    <n v="-2888"/>
    <x v="2"/>
    <n v="2023"/>
  </r>
  <r>
    <n v="1062"/>
    <d v="2023-03-04T00:00:00"/>
    <x v="1"/>
    <x v="0"/>
    <x v="4"/>
    <n v="4932"/>
    <n v="2309"/>
    <s v="Rahul"/>
    <n v="2623"/>
    <x v="2"/>
    <n v="2023"/>
  </r>
  <r>
    <n v="1063"/>
    <d v="2023-03-05T00:00:00"/>
    <x v="3"/>
    <x v="0"/>
    <x v="5"/>
    <n v="4708"/>
    <n v="3260"/>
    <s v="Sneha"/>
    <n v="1448"/>
    <x v="2"/>
    <n v="2023"/>
  </r>
  <r>
    <n v="1064"/>
    <d v="2023-03-06T00:00:00"/>
    <x v="1"/>
    <x v="0"/>
    <x v="2"/>
    <n v="3806"/>
    <n v="3459"/>
    <s v="Sneha"/>
    <n v="347"/>
    <x v="2"/>
    <n v="2023"/>
  </r>
  <r>
    <n v="1065"/>
    <d v="2023-03-07T00:00:00"/>
    <x v="0"/>
    <x v="2"/>
    <x v="1"/>
    <n v="872"/>
    <n v="3775"/>
    <s v="Amit"/>
    <n v="-2903"/>
    <x v="2"/>
    <n v="2023"/>
  </r>
  <r>
    <n v="1066"/>
    <d v="2023-03-08T00:00:00"/>
    <x v="3"/>
    <x v="0"/>
    <x v="2"/>
    <n v="4488"/>
    <n v="3905"/>
    <s v="Sneha"/>
    <n v="583"/>
    <x v="2"/>
    <n v="2023"/>
  </r>
  <r>
    <n v="1067"/>
    <d v="2023-03-09T00:00:00"/>
    <x v="0"/>
    <x v="2"/>
    <x v="0"/>
    <n v="3668"/>
    <n v="2706"/>
    <s v="Sneha"/>
    <n v="962"/>
    <x v="2"/>
    <n v="2023"/>
  </r>
  <r>
    <n v="1068"/>
    <d v="2023-03-10T00:00:00"/>
    <x v="0"/>
    <x v="0"/>
    <x v="0"/>
    <n v="2006"/>
    <n v="997"/>
    <s v="Rahul"/>
    <n v="1009"/>
    <x v="2"/>
    <n v="2023"/>
  </r>
  <r>
    <n v="1069"/>
    <d v="2023-03-11T00:00:00"/>
    <x v="0"/>
    <x v="1"/>
    <x v="4"/>
    <n v="4937"/>
    <n v="1463"/>
    <s v="Priya"/>
    <n v="3474"/>
    <x v="2"/>
    <n v="2023"/>
  </r>
  <r>
    <n v="1070"/>
    <d v="2023-03-12T00:00:00"/>
    <x v="2"/>
    <x v="1"/>
    <x v="2"/>
    <n v="1526"/>
    <n v="1216"/>
    <s v="Rahul"/>
    <n v="310"/>
    <x v="2"/>
    <n v="2023"/>
  </r>
  <r>
    <n v="1071"/>
    <d v="2023-03-13T00:00:00"/>
    <x v="2"/>
    <x v="2"/>
    <x v="3"/>
    <n v="4027"/>
    <n v="228"/>
    <s v="Priya"/>
    <n v="3799"/>
    <x v="2"/>
    <n v="2023"/>
  </r>
  <r>
    <n v="1072"/>
    <d v="2023-03-14T00:00:00"/>
    <x v="3"/>
    <x v="0"/>
    <x v="1"/>
    <n v="2751"/>
    <n v="3424"/>
    <s v="Amit"/>
    <n v="-673"/>
    <x v="2"/>
    <n v="2023"/>
  </r>
  <r>
    <n v="1073"/>
    <d v="2023-03-15T00:00:00"/>
    <x v="0"/>
    <x v="0"/>
    <x v="0"/>
    <n v="743"/>
    <n v="3659"/>
    <s v="Rahul"/>
    <n v="-2916"/>
    <x v="2"/>
    <n v="2023"/>
  </r>
  <r>
    <n v="1074"/>
    <d v="2023-03-16T00:00:00"/>
    <x v="0"/>
    <x v="0"/>
    <x v="0"/>
    <n v="874"/>
    <n v="666"/>
    <s v="Rahul"/>
    <n v="208"/>
    <x v="2"/>
    <n v="2023"/>
  </r>
  <r>
    <n v="1075"/>
    <d v="2023-03-17T00:00:00"/>
    <x v="2"/>
    <x v="0"/>
    <x v="2"/>
    <n v="4661"/>
    <n v="1885"/>
    <s v="Rahul"/>
    <n v="2776"/>
    <x v="2"/>
    <n v="2023"/>
  </r>
  <r>
    <n v="1076"/>
    <d v="2023-03-18T00:00:00"/>
    <x v="1"/>
    <x v="0"/>
    <x v="5"/>
    <n v="3012"/>
    <n v="3534"/>
    <s v="Vikas"/>
    <n v="-522"/>
    <x v="2"/>
    <n v="2023"/>
  </r>
  <r>
    <n v="1077"/>
    <d v="2023-03-19T00:00:00"/>
    <x v="0"/>
    <x v="1"/>
    <x v="1"/>
    <n v="4806"/>
    <n v="2332"/>
    <s v="Vikas"/>
    <n v="2474"/>
    <x v="2"/>
    <n v="2023"/>
  </r>
  <r>
    <n v="1078"/>
    <d v="2023-03-20T00:00:00"/>
    <x v="2"/>
    <x v="2"/>
    <x v="1"/>
    <n v="3970"/>
    <n v="1501"/>
    <s v="Rahul"/>
    <n v="2469"/>
    <x v="2"/>
    <n v="2023"/>
  </r>
  <r>
    <n v="1079"/>
    <d v="2023-03-21T00:00:00"/>
    <x v="3"/>
    <x v="0"/>
    <x v="0"/>
    <n v="1301"/>
    <n v="3903"/>
    <s v="Sneha"/>
    <n v="-2602"/>
    <x v="2"/>
    <n v="2023"/>
  </r>
  <r>
    <n v="1080"/>
    <d v="2023-03-22T00:00:00"/>
    <x v="3"/>
    <x v="1"/>
    <x v="2"/>
    <n v="3292"/>
    <n v="3555"/>
    <s v="Amit"/>
    <n v="-263"/>
    <x v="2"/>
    <n v="2023"/>
  </r>
  <r>
    <n v="1081"/>
    <d v="2023-03-23T00:00:00"/>
    <x v="1"/>
    <x v="0"/>
    <x v="1"/>
    <n v="4971"/>
    <n v="3170"/>
    <s v="Sneha"/>
    <n v="1801"/>
    <x v="2"/>
    <n v="2023"/>
  </r>
  <r>
    <n v="1082"/>
    <d v="2023-03-24T00:00:00"/>
    <x v="0"/>
    <x v="1"/>
    <x v="1"/>
    <n v="4483"/>
    <n v="648"/>
    <s v="Amit"/>
    <n v="3835"/>
    <x v="2"/>
    <n v="2023"/>
  </r>
  <r>
    <n v="1083"/>
    <d v="2023-03-25T00:00:00"/>
    <x v="2"/>
    <x v="2"/>
    <x v="0"/>
    <n v="2528"/>
    <n v="2614"/>
    <s v="Amit"/>
    <n v="-86"/>
    <x v="2"/>
    <n v="2023"/>
  </r>
  <r>
    <n v="1084"/>
    <d v="2023-03-26T00:00:00"/>
    <x v="2"/>
    <x v="0"/>
    <x v="0"/>
    <n v="1943"/>
    <n v="2635"/>
    <s v="Vikas"/>
    <n v="-692"/>
    <x v="2"/>
    <n v="2023"/>
  </r>
  <r>
    <n v="1085"/>
    <d v="2023-03-27T00:00:00"/>
    <x v="1"/>
    <x v="0"/>
    <x v="4"/>
    <n v="3285"/>
    <n v="2045"/>
    <s v="Amit"/>
    <n v="1240"/>
    <x v="2"/>
    <n v="2023"/>
  </r>
  <r>
    <n v="1086"/>
    <d v="2023-03-28T00:00:00"/>
    <x v="2"/>
    <x v="1"/>
    <x v="2"/>
    <n v="1445"/>
    <n v="3053"/>
    <s v="Rahul"/>
    <n v="-1608"/>
    <x v="2"/>
    <n v="2023"/>
  </r>
  <r>
    <n v="1087"/>
    <d v="2023-03-29T00:00:00"/>
    <x v="2"/>
    <x v="2"/>
    <x v="4"/>
    <n v="1348"/>
    <n v="2255"/>
    <s v="Rahul"/>
    <n v="-907"/>
    <x v="2"/>
    <n v="2023"/>
  </r>
  <r>
    <n v="1088"/>
    <d v="2023-03-30T00:00:00"/>
    <x v="1"/>
    <x v="1"/>
    <x v="2"/>
    <n v="4780"/>
    <n v="1600"/>
    <s v="Amit"/>
    <n v="3180"/>
    <x v="2"/>
    <n v="2023"/>
  </r>
  <r>
    <n v="1089"/>
    <d v="2023-03-31T00:00:00"/>
    <x v="3"/>
    <x v="1"/>
    <x v="4"/>
    <n v="819"/>
    <n v="3608"/>
    <s v="Vikas"/>
    <n v="-2789"/>
    <x v="2"/>
    <n v="2023"/>
  </r>
  <r>
    <n v="1090"/>
    <d v="2023-04-01T00:00:00"/>
    <x v="1"/>
    <x v="2"/>
    <x v="4"/>
    <n v="1966"/>
    <n v="3731"/>
    <s v="Sneha"/>
    <n v="-1765"/>
    <x v="3"/>
    <n v="2023"/>
  </r>
  <r>
    <n v="1091"/>
    <d v="2023-04-02T00:00:00"/>
    <x v="1"/>
    <x v="0"/>
    <x v="1"/>
    <n v="3678"/>
    <n v="2899"/>
    <s v="Vikas"/>
    <n v="779"/>
    <x v="3"/>
    <n v="2023"/>
  </r>
  <r>
    <n v="1092"/>
    <d v="2023-04-03T00:00:00"/>
    <x v="3"/>
    <x v="0"/>
    <x v="5"/>
    <n v="3015"/>
    <n v="2228"/>
    <s v="Vikas"/>
    <n v="787"/>
    <x v="3"/>
    <n v="2023"/>
  </r>
  <r>
    <n v="1093"/>
    <d v="2023-04-04T00:00:00"/>
    <x v="3"/>
    <x v="1"/>
    <x v="0"/>
    <n v="2593"/>
    <n v="2634"/>
    <s v="Sneha"/>
    <n v="-41"/>
    <x v="3"/>
    <n v="2023"/>
  </r>
  <r>
    <n v="1094"/>
    <d v="2023-04-05T00:00:00"/>
    <x v="1"/>
    <x v="2"/>
    <x v="0"/>
    <n v="2098"/>
    <n v="3582"/>
    <s v="Rahul"/>
    <n v="-1484"/>
    <x v="3"/>
    <n v="2023"/>
  </r>
  <r>
    <n v="1095"/>
    <d v="2023-04-06T00:00:00"/>
    <x v="0"/>
    <x v="2"/>
    <x v="3"/>
    <n v="3594"/>
    <n v="1741"/>
    <s v="Priya"/>
    <n v="1853"/>
    <x v="3"/>
    <n v="2023"/>
  </r>
  <r>
    <n v="1096"/>
    <d v="2023-04-07T00:00:00"/>
    <x v="3"/>
    <x v="0"/>
    <x v="5"/>
    <n v="4221"/>
    <n v="3033"/>
    <s v="Vikas"/>
    <n v="1188"/>
    <x v="3"/>
    <n v="2023"/>
  </r>
  <r>
    <n v="1097"/>
    <d v="2023-04-08T00:00:00"/>
    <x v="1"/>
    <x v="0"/>
    <x v="2"/>
    <n v="1856"/>
    <n v="3862"/>
    <s v="Rahul"/>
    <n v="-2006"/>
    <x v="3"/>
    <n v="2023"/>
  </r>
  <r>
    <n v="1098"/>
    <d v="2023-04-09T00:00:00"/>
    <x v="2"/>
    <x v="1"/>
    <x v="5"/>
    <n v="2718"/>
    <n v="2125"/>
    <s v="Amit"/>
    <n v="593"/>
    <x v="3"/>
    <n v="2023"/>
  </r>
  <r>
    <n v="1099"/>
    <d v="2023-04-10T00:00:00"/>
    <x v="0"/>
    <x v="0"/>
    <x v="0"/>
    <n v="1259"/>
    <n v="3094"/>
    <s v="Vikas"/>
    <n v="-1835"/>
    <x v="3"/>
    <n v="2023"/>
  </r>
  <r>
    <n v="1100"/>
    <d v="2023-04-11T00:00:00"/>
    <x v="2"/>
    <x v="2"/>
    <x v="5"/>
    <n v="4996"/>
    <n v="1305"/>
    <s v="Vikas"/>
    <n v="3691"/>
    <x v="3"/>
    <n v="2023"/>
  </r>
  <r>
    <n v="1101"/>
    <d v="2023-04-12T00:00:00"/>
    <x v="3"/>
    <x v="1"/>
    <x v="2"/>
    <n v="3887"/>
    <n v="1457"/>
    <s v="Amit"/>
    <n v="2430"/>
    <x v="3"/>
    <n v="2023"/>
  </r>
  <r>
    <n v="1102"/>
    <d v="2023-04-13T00:00:00"/>
    <x v="0"/>
    <x v="1"/>
    <x v="3"/>
    <n v="4869"/>
    <n v="310"/>
    <s v="Priya"/>
    <n v="4559"/>
    <x v="3"/>
    <n v="2023"/>
  </r>
  <r>
    <n v="1103"/>
    <d v="2023-04-14T00:00:00"/>
    <x v="1"/>
    <x v="2"/>
    <x v="1"/>
    <n v="1840"/>
    <n v="2868"/>
    <s v="Priya"/>
    <n v="-1028"/>
    <x v="3"/>
    <n v="2023"/>
  </r>
  <r>
    <n v="1104"/>
    <d v="2023-04-15T00:00:00"/>
    <x v="0"/>
    <x v="0"/>
    <x v="2"/>
    <n v="1377"/>
    <n v="1254"/>
    <s v="Sneha"/>
    <n v="123"/>
    <x v="3"/>
    <n v="2023"/>
  </r>
  <r>
    <n v="1105"/>
    <d v="2023-04-16T00:00:00"/>
    <x v="3"/>
    <x v="0"/>
    <x v="4"/>
    <n v="4777"/>
    <n v="1995"/>
    <s v="Amit"/>
    <n v="2782"/>
    <x v="3"/>
    <n v="2023"/>
  </r>
  <r>
    <n v="1106"/>
    <d v="2023-04-17T00:00:00"/>
    <x v="0"/>
    <x v="2"/>
    <x v="3"/>
    <n v="581"/>
    <n v="328"/>
    <s v="Rahul"/>
    <n v="253"/>
    <x v="3"/>
    <n v="2023"/>
  </r>
  <r>
    <n v="1107"/>
    <d v="2023-04-18T00:00:00"/>
    <x v="1"/>
    <x v="0"/>
    <x v="2"/>
    <n v="4113"/>
    <n v="2085"/>
    <s v="Rahul"/>
    <n v="2028"/>
    <x v="3"/>
    <n v="2023"/>
  </r>
  <r>
    <n v="1108"/>
    <d v="2023-04-19T00:00:00"/>
    <x v="1"/>
    <x v="0"/>
    <x v="2"/>
    <n v="2746"/>
    <n v="2548"/>
    <s v="Priya"/>
    <n v="198"/>
    <x v="3"/>
    <n v="2023"/>
  </r>
  <r>
    <n v="1109"/>
    <d v="2023-04-20T00:00:00"/>
    <x v="0"/>
    <x v="1"/>
    <x v="4"/>
    <n v="4624"/>
    <n v="2932"/>
    <s v="Sneha"/>
    <n v="1692"/>
    <x v="3"/>
    <n v="2023"/>
  </r>
  <r>
    <n v="1110"/>
    <d v="2023-04-21T00:00:00"/>
    <x v="1"/>
    <x v="0"/>
    <x v="0"/>
    <n v="4523"/>
    <n v="1460"/>
    <s v="Sneha"/>
    <n v="3063"/>
    <x v="3"/>
    <n v="2023"/>
  </r>
  <r>
    <n v="1111"/>
    <d v="2023-04-22T00:00:00"/>
    <x v="0"/>
    <x v="0"/>
    <x v="1"/>
    <n v="4774"/>
    <n v="2875"/>
    <s v="Rahul"/>
    <n v="1899"/>
    <x v="3"/>
    <n v="2023"/>
  </r>
  <r>
    <n v="1112"/>
    <d v="2023-04-23T00:00:00"/>
    <x v="0"/>
    <x v="2"/>
    <x v="3"/>
    <n v="4170"/>
    <n v="3205"/>
    <s v="Sneha"/>
    <n v="965"/>
    <x v="3"/>
    <n v="2023"/>
  </r>
  <r>
    <n v="1113"/>
    <d v="2023-04-24T00:00:00"/>
    <x v="0"/>
    <x v="2"/>
    <x v="5"/>
    <n v="2302"/>
    <n v="2502"/>
    <s v="Priya"/>
    <n v="-200"/>
    <x v="3"/>
    <n v="2023"/>
  </r>
  <r>
    <n v="1114"/>
    <d v="2023-04-25T00:00:00"/>
    <x v="0"/>
    <x v="2"/>
    <x v="1"/>
    <n v="4127"/>
    <n v="3272"/>
    <s v="Priya"/>
    <n v="855"/>
    <x v="3"/>
    <n v="2023"/>
  </r>
  <r>
    <n v="1115"/>
    <d v="2023-04-26T00:00:00"/>
    <x v="3"/>
    <x v="2"/>
    <x v="3"/>
    <n v="3503"/>
    <n v="2661"/>
    <s v="Sneha"/>
    <n v="842"/>
    <x v="3"/>
    <n v="2023"/>
  </r>
  <r>
    <n v="1116"/>
    <d v="2023-04-27T00:00:00"/>
    <x v="1"/>
    <x v="2"/>
    <x v="1"/>
    <n v="1938"/>
    <n v="1827"/>
    <s v="Priya"/>
    <n v="111"/>
    <x v="3"/>
    <n v="2023"/>
  </r>
  <r>
    <n v="1117"/>
    <d v="2023-04-28T00:00:00"/>
    <x v="0"/>
    <x v="2"/>
    <x v="0"/>
    <n v="1666"/>
    <n v="1130"/>
    <s v="Priya"/>
    <n v="536"/>
    <x v="3"/>
    <n v="2023"/>
  </r>
  <r>
    <n v="1118"/>
    <d v="2023-04-29T00:00:00"/>
    <x v="1"/>
    <x v="1"/>
    <x v="5"/>
    <n v="2535"/>
    <n v="1210"/>
    <s v="Sneha"/>
    <n v="1325"/>
    <x v="3"/>
    <n v="2023"/>
  </r>
  <r>
    <n v="1119"/>
    <d v="2023-04-30T00:00:00"/>
    <x v="3"/>
    <x v="0"/>
    <x v="4"/>
    <n v="1580"/>
    <n v="3259"/>
    <s v="Priya"/>
    <n v="-1679"/>
    <x v="3"/>
    <n v="2023"/>
  </r>
  <r>
    <n v="1120"/>
    <d v="2023-05-01T00:00:00"/>
    <x v="1"/>
    <x v="1"/>
    <x v="4"/>
    <n v="2396"/>
    <n v="1452"/>
    <s v="Amit"/>
    <n v="944"/>
    <x v="4"/>
    <n v="2023"/>
  </r>
  <r>
    <n v="1121"/>
    <d v="2023-05-02T00:00:00"/>
    <x v="1"/>
    <x v="0"/>
    <x v="2"/>
    <n v="2691"/>
    <n v="1411"/>
    <s v="Priya"/>
    <n v="1280"/>
    <x v="4"/>
    <n v="2023"/>
  </r>
  <r>
    <n v="1122"/>
    <d v="2023-05-03T00:00:00"/>
    <x v="2"/>
    <x v="2"/>
    <x v="4"/>
    <n v="1131"/>
    <n v="1245"/>
    <s v="Vikas"/>
    <n v="-114"/>
    <x v="4"/>
    <n v="2023"/>
  </r>
  <r>
    <n v="1123"/>
    <d v="2023-05-04T00:00:00"/>
    <x v="2"/>
    <x v="0"/>
    <x v="2"/>
    <n v="3549"/>
    <n v="263"/>
    <s v="Rahul"/>
    <n v="3286"/>
    <x v="4"/>
    <n v="2023"/>
  </r>
  <r>
    <n v="1124"/>
    <d v="2023-05-05T00:00:00"/>
    <x v="2"/>
    <x v="1"/>
    <x v="3"/>
    <n v="2856"/>
    <n v="1958"/>
    <s v="Amit"/>
    <n v="898"/>
    <x v="4"/>
    <n v="2023"/>
  </r>
  <r>
    <n v="1125"/>
    <d v="2023-05-06T00:00:00"/>
    <x v="0"/>
    <x v="0"/>
    <x v="1"/>
    <n v="3659"/>
    <n v="3776"/>
    <s v="Sneha"/>
    <n v="-117"/>
    <x v="4"/>
    <n v="2023"/>
  </r>
  <r>
    <n v="1126"/>
    <d v="2023-05-07T00:00:00"/>
    <x v="2"/>
    <x v="0"/>
    <x v="5"/>
    <n v="3478"/>
    <n v="1837"/>
    <s v="Rahul"/>
    <n v="1641"/>
    <x v="4"/>
    <n v="2023"/>
  </r>
  <r>
    <n v="1127"/>
    <d v="2023-05-08T00:00:00"/>
    <x v="2"/>
    <x v="2"/>
    <x v="5"/>
    <n v="937"/>
    <n v="2905"/>
    <s v="Vikas"/>
    <n v="-1968"/>
    <x v="4"/>
    <n v="2023"/>
  </r>
  <r>
    <n v="1128"/>
    <d v="2023-05-09T00:00:00"/>
    <x v="2"/>
    <x v="1"/>
    <x v="2"/>
    <n v="3320"/>
    <n v="3310"/>
    <s v="Rahul"/>
    <n v="10"/>
    <x v="4"/>
    <n v="2023"/>
  </r>
  <r>
    <n v="1129"/>
    <d v="2023-05-10T00:00:00"/>
    <x v="1"/>
    <x v="2"/>
    <x v="3"/>
    <n v="4463"/>
    <n v="1943"/>
    <s v="Priya"/>
    <n v="2520"/>
    <x v="4"/>
    <n v="2023"/>
  </r>
  <r>
    <n v="1130"/>
    <d v="2023-05-11T00:00:00"/>
    <x v="0"/>
    <x v="2"/>
    <x v="5"/>
    <n v="2702"/>
    <n v="3145"/>
    <s v="Rahul"/>
    <n v="-443"/>
    <x v="4"/>
    <n v="2023"/>
  </r>
  <r>
    <n v="1131"/>
    <d v="2023-05-12T00:00:00"/>
    <x v="1"/>
    <x v="2"/>
    <x v="5"/>
    <n v="1992"/>
    <n v="2391"/>
    <s v="Sneha"/>
    <n v="-399"/>
    <x v="4"/>
    <n v="2023"/>
  </r>
  <r>
    <n v="1132"/>
    <d v="2023-05-13T00:00:00"/>
    <x v="2"/>
    <x v="0"/>
    <x v="1"/>
    <n v="2937"/>
    <n v="3249"/>
    <s v="Priya"/>
    <n v="-312"/>
    <x v="4"/>
    <n v="2023"/>
  </r>
  <r>
    <n v="1133"/>
    <d v="2023-05-14T00:00:00"/>
    <x v="3"/>
    <x v="0"/>
    <x v="1"/>
    <n v="2821"/>
    <n v="2974"/>
    <s v="Priya"/>
    <n v="-153"/>
    <x v="4"/>
    <n v="2023"/>
  </r>
  <r>
    <n v="1134"/>
    <d v="2023-05-15T00:00:00"/>
    <x v="0"/>
    <x v="1"/>
    <x v="2"/>
    <n v="2488"/>
    <n v="1973"/>
    <s v="Vikas"/>
    <n v="515"/>
    <x v="4"/>
    <n v="2023"/>
  </r>
  <r>
    <n v="1135"/>
    <d v="2023-05-16T00:00:00"/>
    <x v="2"/>
    <x v="0"/>
    <x v="1"/>
    <n v="2860"/>
    <n v="3801"/>
    <s v="Rahul"/>
    <n v="-941"/>
    <x v="4"/>
    <n v="2023"/>
  </r>
  <r>
    <n v="1136"/>
    <d v="2023-05-17T00:00:00"/>
    <x v="3"/>
    <x v="0"/>
    <x v="3"/>
    <n v="2708"/>
    <n v="1460"/>
    <s v="Vikas"/>
    <n v="1248"/>
    <x v="4"/>
    <n v="2023"/>
  </r>
  <r>
    <n v="1137"/>
    <d v="2023-05-18T00:00:00"/>
    <x v="0"/>
    <x v="1"/>
    <x v="2"/>
    <n v="837"/>
    <n v="2173"/>
    <s v="Priya"/>
    <n v="-1336"/>
    <x v="4"/>
    <n v="2023"/>
  </r>
  <r>
    <n v="1138"/>
    <d v="2023-05-19T00:00:00"/>
    <x v="3"/>
    <x v="2"/>
    <x v="3"/>
    <n v="573"/>
    <n v="3678"/>
    <s v="Priya"/>
    <n v="-3105"/>
    <x v="4"/>
    <n v="2023"/>
  </r>
  <r>
    <n v="1139"/>
    <d v="2023-05-20T00:00:00"/>
    <x v="0"/>
    <x v="1"/>
    <x v="3"/>
    <n v="1240"/>
    <n v="1685"/>
    <s v="Vikas"/>
    <n v="-445"/>
    <x v="4"/>
    <n v="2023"/>
  </r>
  <r>
    <n v="1140"/>
    <d v="2023-05-21T00:00:00"/>
    <x v="2"/>
    <x v="1"/>
    <x v="5"/>
    <n v="2898"/>
    <n v="2874"/>
    <s v="Priya"/>
    <n v="24"/>
    <x v="4"/>
    <n v="2023"/>
  </r>
  <r>
    <n v="1141"/>
    <d v="2023-05-22T00:00:00"/>
    <x v="1"/>
    <x v="0"/>
    <x v="4"/>
    <n v="3901"/>
    <n v="3447"/>
    <s v="Rahul"/>
    <n v="454"/>
    <x v="4"/>
    <n v="2023"/>
  </r>
  <r>
    <n v="1142"/>
    <d v="2023-05-23T00:00:00"/>
    <x v="3"/>
    <x v="1"/>
    <x v="5"/>
    <n v="4960"/>
    <n v="1930"/>
    <s v="Amit"/>
    <n v="3030"/>
    <x v="4"/>
    <n v="2023"/>
  </r>
  <r>
    <n v="1143"/>
    <d v="2023-05-24T00:00:00"/>
    <x v="3"/>
    <x v="1"/>
    <x v="1"/>
    <n v="3748"/>
    <n v="467"/>
    <s v="Vikas"/>
    <n v="3281"/>
    <x v="4"/>
    <n v="2023"/>
  </r>
  <r>
    <n v="1144"/>
    <d v="2023-05-25T00:00:00"/>
    <x v="2"/>
    <x v="0"/>
    <x v="4"/>
    <n v="1239"/>
    <n v="2129"/>
    <s v="Sneha"/>
    <n v="-890"/>
    <x v="4"/>
    <n v="2023"/>
  </r>
  <r>
    <n v="1145"/>
    <d v="2023-05-26T00:00:00"/>
    <x v="0"/>
    <x v="1"/>
    <x v="0"/>
    <n v="3915"/>
    <n v="2746"/>
    <s v="Amit"/>
    <n v="1169"/>
    <x v="4"/>
    <n v="2023"/>
  </r>
  <r>
    <n v="1146"/>
    <d v="2023-05-27T00:00:00"/>
    <x v="1"/>
    <x v="2"/>
    <x v="4"/>
    <n v="916"/>
    <n v="3056"/>
    <s v="Sneha"/>
    <n v="-2140"/>
    <x v="4"/>
    <n v="2023"/>
  </r>
  <r>
    <n v="1147"/>
    <d v="2023-05-28T00:00:00"/>
    <x v="2"/>
    <x v="0"/>
    <x v="1"/>
    <n v="2860"/>
    <n v="1147"/>
    <s v="Priya"/>
    <n v="1713"/>
    <x v="4"/>
    <n v="2023"/>
  </r>
  <r>
    <n v="1148"/>
    <d v="2023-05-29T00:00:00"/>
    <x v="2"/>
    <x v="2"/>
    <x v="1"/>
    <n v="912"/>
    <n v="247"/>
    <s v="Amit"/>
    <n v="665"/>
    <x v="4"/>
    <n v="2023"/>
  </r>
  <r>
    <n v="1149"/>
    <d v="2023-05-30T00:00:00"/>
    <x v="1"/>
    <x v="1"/>
    <x v="1"/>
    <n v="4767"/>
    <n v="972"/>
    <s v="Priya"/>
    <n v="3795"/>
    <x v="4"/>
    <n v="2023"/>
  </r>
  <r>
    <n v="1150"/>
    <d v="2023-05-31T00:00:00"/>
    <x v="0"/>
    <x v="2"/>
    <x v="2"/>
    <n v="678"/>
    <n v="2130"/>
    <s v="Priya"/>
    <n v="-1452"/>
    <x v="4"/>
    <n v="2023"/>
  </r>
  <r>
    <n v="1151"/>
    <d v="2023-06-01T00:00:00"/>
    <x v="3"/>
    <x v="2"/>
    <x v="1"/>
    <n v="3362"/>
    <n v="3769"/>
    <s v="Vikas"/>
    <n v="-407"/>
    <x v="5"/>
    <n v="2023"/>
  </r>
  <r>
    <n v="1152"/>
    <d v="2023-06-02T00:00:00"/>
    <x v="3"/>
    <x v="0"/>
    <x v="0"/>
    <n v="2656"/>
    <n v="2502"/>
    <s v="Sneha"/>
    <n v="154"/>
    <x v="5"/>
    <n v="2023"/>
  </r>
  <r>
    <n v="1153"/>
    <d v="2023-06-03T00:00:00"/>
    <x v="1"/>
    <x v="2"/>
    <x v="2"/>
    <n v="2969"/>
    <n v="846"/>
    <s v="Rahul"/>
    <n v="2123"/>
    <x v="5"/>
    <n v="2023"/>
  </r>
  <r>
    <n v="1154"/>
    <d v="2023-06-04T00:00:00"/>
    <x v="3"/>
    <x v="2"/>
    <x v="4"/>
    <n v="3180"/>
    <n v="3646"/>
    <s v="Vikas"/>
    <n v="-466"/>
    <x v="5"/>
    <n v="2023"/>
  </r>
  <r>
    <n v="1155"/>
    <d v="2023-06-05T00:00:00"/>
    <x v="1"/>
    <x v="2"/>
    <x v="0"/>
    <n v="2550"/>
    <n v="3700"/>
    <s v="Vikas"/>
    <n v="-1150"/>
    <x v="5"/>
    <n v="2023"/>
  </r>
  <r>
    <n v="1156"/>
    <d v="2023-06-06T00:00:00"/>
    <x v="1"/>
    <x v="1"/>
    <x v="5"/>
    <n v="1285"/>
    <n v="3600"/>
    <s v="Sneha"/>
    <n v="-2315"/>
    <x v="5"/>
    <n v="2023"/>
  </r>
  <r>
    <n v="1157"/>
    <d v="2023-06-07T00:00:00"/>
    <x v="1"/>
    <x v="0"/>
    <x v="4"/>
    <n v="4739"/>
    <n v="3664"/>
    <s v="Vikas"/>
    <n v="1075"/>
    <x v="5"/>
    <n v="2023"/>
  </r>
  <r>
    <n v="1158"/>
    <d v="2023-06-08T00:00:00"/>
    <x v="3"/>
    <x v="2"/>
    <x v="5"/>
    <n v="1207"/>
    <n v="2448"/>
    <s v="Sneha"/>
    <n v="-1241"/>
    <x v="5"/>
    <n v="2023"/>
  </r>
  <r>
    <n v="1159"/>
    <d v="2023-06-09T00:00:00"/>
    <x v="2"/>
    <x v="2"/>
    <x v="5"/>
    <n v="1865"/>
    <n v="692"/>
    <s v="Vikas"/>
    <n v="1173"/>
    <x v="5"/>
    <n v="2023"/>
  </r>
  <r>
    <n v="1160"/>
    <d v="2023-06-10T00:00:00"/>
    <x v="3"/>
    <x v="0"/>
    <x v="2"/>
    <n v="3665"/>
    <n v="218"/>
    <s v="Amit"/>
    <n v="3447"/>
    <x v="5"/>
    <n v="2023"/>
  </r>
  <r>
    <n v="1161"/>
    <d v="2023-06-11T00:00:00"/>
    <x v="3"/>
    <x v="2"/>
    <x v="5"/>
    <n v="1323"/>
    <n v="1226"/>
    <s v="Sneha"/>
    <n v="97"/>
    <x v="5"/>
    <n v="2023"/>
  </r>
  <r>
    <n v="1162"/>
    <d v="2023-06-12T00:00:00"/>
    <x v="1"/>
    <x v="1"/>
    <x v="2"/>
    <n v="2725"/>
    <n v="2445"/>
    <s v="Rahul"/>
    <n v="280"/>
    <x v="5"/>
    <n v="2023"/>
  </r>
  <r>
    <n v="1163"/>
    <d v="2023-06-13T00:00:00"/>
    <x v="3"/>
    <x v="0"/>
    <x v="1"/>
    <n v="1144"/>
    <n v="3493"/>
    <s v="Vikas"/>
    <n v="-2349"/>
    <x v="5"/>
    <n v="2023"/>
  </r>
  <r>
    <n v="1164"/>
    <d v="2023-06-14T00:00:00"/>
    <x v="1"/>
    <x v="2"/>
    <x v="4"/>
    <n v="589"/>
    <n v="705"/>
    <s v="Amit"/>
    <n v="-116"/>
    <x v="5"/>
    <n v="2023"/>
  </r>
  <r>
    <n v="1165"/>
    <d v="2023-06-15T00:00:00"/>
    <x v="1"/>
    <x v="1"/>
    <x v="3"/>
    <n v="2791"/>
    <n v="1453"/>
    <s v="Rahul"/>
    <n v="1338"/>
    <x v="5"/>
    <n v="2023"/>
  </r>
  <r>
    <n v="1166"/>
    <d v="2023-06-16T00:00:00"/>
    <x v="3"/>
    <x v="2"/>
    <x v="4"/>
    <n v="4195"/>
    <n v="1836"/>
    <s v="Vikas"/>
    <n v="2359"/>
    <x v="5"/>
    <n v="2023"/>
  </r>
  <r>
    <n v="1167"/>
    <d v="2023-06-17T00:00:00"/>
    <x v="3"/>
    <x v="1"/>
    <x v="1"/>
    <n v="3693"/>
    <n v="562"/>
    <s v="Vikas"/>
    <n v="3131"/>
    <x v="5"/>
    <n v="2023"/>
  </r>
  <r>
    <n v="1168"/>
    <d v="2023-06-18T00:00:00"/>
    <x v="1"/>
    <x v="2"/>
    <x v="4"/>
    <n v="3156"/>
    <n v="2405"/>
    <s v="Priya"/>
    <n v="751"/>
    <x v="5"/>
    <n v="2023"/>
  </r>
  <r>
    <n v="1169"/>
    <d v="2023-06-19T00:00:00"/>
    <x v="0"/>
    <x v="1"/>
    <x v="2"/>
    <n v="2895"/>
    <n v="1379"/>
    <s v="Vikas"/>
    <n v="1516"/>
    <x v="5"/>
    <n v="2023"/>
  </r>
  <r>
    <n v="1170"/>
    <d v="2023-06-20T00:00:00"/>
    <x v="2"/>
    <x v="2"/>
    <x v="1"/>
    <n v="3352"/>
    <n v="2905"/>
    <s v="Rahul"/>
    <n v="447"/>
    <x v="5"/>
    <n v="2023"/>
  </r>
  <r>
    <n v="1171"/>
    <d v="2023-06-21T00:00:00"/>
    <x v="3"/>
    <x v="1"/>
    <x v="4"/>
    <n v="1907"/>
    <n v="642"/>
    <s v="Rahul"/>
    <n v="1265"/>
    <x v="5"/>
    <n v="2023"/>
  </r>
  <r>
    <n v="1172"/>
    <d v="2023-06-22T00:00:00"/>
    <x v="1"/>
    <x v="1"/>
    <x v="4"/>
    <n v="887"/>
    <n v="595"/>
    <s v="Amit"/>
    <n v="292"/>
    <x v="5"/>
    <n v="2023"/>
  </r>
  <r>
    <n v="1173"/>
    <d v="2023-06-23T00:00:00"/>
    <x v="3"/>
    <x v="1"/>
    <x v="2"/>
    <n v="2182"/>
    <n v="3577"/>
    <s v="Priya"/>
    <n v="-1395"/>
    <x v="5"/>
    <n v="2023"/>
  </r>
  <r>
    <n v="1174"/>
    <d v="2023-06-24T00:00:00"/>
    <x v="2"/>
    <x v="1"/>
    <x v="5"/>
    <n v="705"/>
    <n v="1552"/>
    <s v="Amit"/>
    <n v="-847"/>
    <x v="5"/>
    <n v="2023"/>
  </r>
  <r>
    <n v="1175"/>
    <d v="2023-06-25T00:00:00"/>
    <x v="3"/>
    <x v="0"/>
    <x v="0"/>
    <n v="2599"/>
    <n v="544"/>
    <s v="Amit"/>
    <n v="2055"/>
    <x v="5"/>
    <n v="2023"/>
  </r>
  <r>
    <n v="1176"/>
    <d v="2023-06-26T00:00:00"/>
    <x v="2"/>
    <x v="1"/>
    <x v="4"/>
    <n v="2816"/>
    <n v="1739"/>
    <s v="Vikas"/>
    <n v="1077"/>
    <x v="5"/>
    <n v="2023"/>
  </r>
  <r>
    <n v="1177"/>
    <d v="2023-06-27T00:00:00"/>
    <x v="0"/>
    <x v="1"/>
    <x v="3"/>
    <n v="3414"/>
    <n v="1848"/>
    <s v="Amit"/>
    <n v="1566"/>
    <x v="5"/>
    <n v="2023"/>
  </r>
  <r>
    <n v="1178"/>
    <d v="2023-06-28T00:00:00"/>
    <x v="3"/>
    <x v="1"/>
    <x v="0"/>
    <n v="4178"/>
    <n v="2259"/>
    <s v="Sneha"/>
    <n v="1919"/>
    <x v="5"/>
    <n v="2023"/>
  </r>
  <r>
    <n v="1179"/>
    <d v="2023-06-29T00:00:00"/>
    <x v="3"/>
    <x v="1"/>
    <x v="3"/>
    <n v="4292"/>
    <n v="3706"/>
    <s v="Priya"/>
    <n v="586"/>
    <x v="5"/>
    <n v="2023"/>
  </r>
  <r>
    <n v="1180"/>
    <d v="2023-06-30T00:00:00"/>
    <x v="1"/>
    <x v="0"/>
    <x v="2"/>
    <n v="2613"/>
    <n v="3927"/>
    <s v="Vikas"/>
    <n v="-1314"/>
    <x v="5"/>
    <n v="2023"/>
  </r>
  <r>
    <n v="1181"/>
    <d v="2023-07-01T00:00:00"/>
    <x v="0"/>
    <x v="2"/>
    <x v="4"/>
    <n v="2636"/>
    <n v="331"/>
    <s v="Sneha"/>
    <n v="2305"/>
    <x v="6"/>
    <n v="2023"/>
  </r>
  <r>
    <n v="1182"/>
    <d v="2023-07-02T00:00:00"/>
    <x v="1"/>
    <x v="0"/>
    <x v="1"/>
    <n v="665"/>
    <n v="3244"/>
    <s v="Rahul"/>
    <n v="-2579"/>
    <x v="6"/>
    <n v="2023"/>
  </r>
  <r>
    <n v="1183"/>
    <d v="2023-07-03T00:00:00"/>
    <x v="3"/>
    <x v="1"/>
    <x v="2"/>
    <n v="934"/>
    <n v="2180"/>
    <s v="Priya"/>
    <n v="-1246"/>
    <x v="6"/>
    <n v="2023"/>
  </r>
  <r>
    <n v="1184"/>
    <d v="2023-07-04T00:00:00"/>
    <x v="1"/>
    <x v="0"/>
    <x v="4"/>
    <n v="2468"/>
    <n v="2159"/>
    <s v="Rahul"/>
    <n v="309"/>
    <x v="6"/>
    <n v="2023"/>
  </r>
  <r>
    <n v="1185"/>
    <d v="2023-07-05T00:00:00"/>
    <x v="0"/>
    <x v="0"/>
    <x v="5"/>
    <n v="1728"/>
    <n v="1734"/>
    <s v="Rahul"/>
    <n v="-6"/>
    <x v="6"/>
    <n v="2023"/>
  </r>
  <r>
    <n v="1186"/>
    <d v="2023-07-06T00:00:00"/>
    <x v="0"/>
    <x v="1"/>
    <x v="1"/>
    <n v="1528"/>
    <n v="2205"/>
    <s v="Vikas"/>
    <n v="-677"/>
    <x v="6"/>
    <n v="2023"/>
  </r>
  <r>
    <n v="1187"/>
    <d v="2023-07-07T00:00:00"/>
    <x v="3"/>
    <x v="2"/>
    <x v="3"/>
    <n v="1698"/>
    <n v="357"/>
    <s v="Sneha"/>
    <n v="1341"/>
    <x v="6"/>
    <n v="2023"/>
  </r>
  <r>
    <n v="1188"/>
    <d v="2023-07-08T00:00:00"/>
    <x v="0"/>
    <x v="1"/>
    <x v="4"/>
    <n v="4482"/>
    <n v="3197"/>
    <s v="Priya"/>
    <n v="1285"/>
    <x v="6"/>
    <n v="2023"/>
  </r>
  <r>
    <n v="1189"/>
    <d v="2023-07-09T00:00:00"/>
    <x v="3"/>
    <x v="1"/>
    <x v="2"/>
    <n v="3813"/>
    <n v="267"/>
    <s v="Vikas"/>
    <n v="3546"/>
    <x v="6"/>
    <n v="2023"/>
  </r>
  <r>
    <n v="1190"/>
    <d v="2023-07-10T00:00:00"/>
    <x v="1"/>
    <x v="2"/>
    <x v="2"/>
    <n v="3906"/>
    <n v="1792"/>
    <s v="Amit"/>
    <n v="2114"/>
    <x v="6"/>
    <n v="2023"/>
  </r>
  <r>
    <n v="1191"/>
    <d v="2023-07-11T00:00:00"/>
    <x v="3"/>
    <x v="2"/>
    <x v="4"/>
    <n v="4088"/>
    <n v="2451"/>
    <s v="Priya"/>
    <n v="1637"/>
    <x v="6"/>
    <n v="2023"/>
  </r>
  <r>
    <n v="1192"/>
    <d v="2023-07-12T00:00:00"/>
    <x v="3"/>
    <x v="1"/>
    <x v="1"/>
    <n v="1474"/>
    <n v="3647"/>
    <s v="Vikas"/>
    <n v="-2173"/>
    <x v="6"/>
    <n v="2023"/>
  </r>
  <r>
    <n v="1193"/>
    <d v="2023-07-13T00:00:00"/>
    <x v="1"/>
    <x v="2"/>
    <x v="4"/>
    <n v="1727"/>
    <n v="1303"/>
    <s v="Priya"/>
    <n v="424"/>
    <x v="6"/>
    <n v="2023"/>
  </r>
  <r>
    <n v="1194"/>
    <d v="2023-07-14T00:00:00"/>
    <x v="0"/>
    <x v="1"/>
    <x v="0"/>
    <n v="3082"/>
    <n v="2549"/>
    <s v="Priya"/>
    <n v="533"/>
    <x v="6"/>
    <n v="2023"/>
  </r>
  <r>
    <n v="1195"/>
    <d v="2023-07-15T00:00:00"/>
    <x v="0"/>
    <x v="2"/>
    <x v="3"/>
    <n v="1992"/>
    <n v="802"/>
    <s v="Vikas"/>
    <n v="1190"/>
    <x v="6"/>
    <n v="2023"/>
  </r>
  <r>
    <n v="1196"/>
    <d v="2023-07-16T00:00:00"/>
    <x v="0"/>
    <x v="1"/>
    <x v="4"/>
    <n v="4267"/>
    <n v="2327"/>
    <s v="Rahul"/>
    <n v="1940"/>
    <x v="6"/>
    <n v="2023"/>
  </r>
  <r>
    <n v="1197"/>
    <d v="2023-07-17T00:00:00"/>
    <x v="2"/>
    <x v="0"/>
    <x v="4"/>
    <n v="1654"/>
    <n v="3497"/>
    <s v="Rahul"/>
    <n v="-1843"/>
    <x v="6"/>
    <n v="2023"/>
  </r>
  <r>
    <n v="1198"/>
    <d v="2023-07-18T00:00:00"/>
    <x v="3"/>
    <x v="2"/>
    <x v="1"/>
    <n v="2161"/>
    <n v="1235"/>
    <s v="Vikas"/>
    <n v="926"/>
    <x v="6"/>
    <n v="2023"/>
  </r>
  <r>
    <n v="1199"/>
    <d v="2023-07-19T00:00:00"/>
    <x v="0"/>
    <x v="2"/>
    <x v="5"/>
    <n v="2164"/>
    <n v="3775"/>
    <s v="Priya"/>
    <n v="-1611"/>
    <x v="6"/>
    <n v="2023"/>
  </r>
  <r>
    <n v="1200"/>
    <d v="2023-07-20T00:00:00"/>
    <x v="2"/>
    <x v="1"/>
    <x v="2"/>
    <n v="3923"/>
    <n v="2381"/>
    <s v="Rahul"/>
    <n v="1542"/>
    <x v="6"/>
    <n v="2023"/>
  </r>
  <r>
    <n v="1201"/>
    <d v="2023-07-21T00:00:00"/>
    <x v="3"/>
    <x v="1"/>
    <x v="3"/>
    <n v="684"/>
    <n v="1126"/>
    <s v="Sneha"/>
    <n v="-442"/>
    <x v="6"/>
    <n v="2023"/>
  </r>
  <r>
    <n v="1202"/>
    <d v="2023-07-22T00:00:00"/>
    <x v="1"/>
    <x v="0"/>
    <x v="0"/>
    <n v="4282"/>
    <n v="3458"/>
    <s v="Amit"/>
    <n v="824"/>
    <x v="6"/>
    <n v="2023"/>
  </r>
  <r>
    <n v="1203"/>
    <d v="2023-07-23T00:00:00"/>
    <x v="3"/>
    <x v="1"/>
    <x v="2"/>
    <n v="2738"/>
    <n v="1804"/>
    <s v="Amit"/>
    <n v="934"/>
    <x v="6"/>
    <n v="2023"/>
  </r>
  <r>
    <n v="1204"/>
    <d v="2023-07-24T00:00:00"/>
    <x v="3"/>
    <x v="2"/>
    <x v="0"/>
    <n v="3265"/>
    <n v="515"/>
    <s v="Sneha"/>
    <n v="2750"/>
    <x v="6"/>
    <n v="2023"/>
  </r>
  <r>
    <n v="1205"/>
    <d v="2023-07-25T00:00:00"/>
    <x v="1"/>
    <x v="1"/>
    <x v="1"/>
    <n v="2176"/>
    <n v="744"/>
    <s v="Sneha"/>
    <n v="1432"/>
    <x v="6"/>
    <n v="2023"/>
  </r>
  <r>
    <n v="1206"/>
    <d v="2023-07-26T00:00:00"/>
    <x v="2"/>
    <x v="0"/>
    <x v="0"/>
    <n v="793"/>
    <n v="3443"/>
    <s v="Sneha"/>
    <n v="-2650"/>
    <x v="6"/>
    <n v="2023"/>
  </r>
  <r>
    <n v="1207"/>
    <d v="2023-07-27T00:00:00"/>
    <x v="0"/>
    <x v="2"/>
    <x v="5"/>
    <n v="4551"/>
    <n v="837"/>
    <s v="Priya"/>
    <n v="3714"/>
    <x v="6"/>
    <n v="2023"/>
  </r>
  <r>
    <n v="1208"/>
    <d v="2023-07-28T00:00:00"/>
    <x v="0"/>
    <x v="1"/>
    <x v="4"/>
    <n v="2863"/>
    <n v="3588"/>
    <s v="Rahul"/>
    <n v="-725"/>
    <x v="6"/>
    <n v="2023"/>
  </r>
  <r>
    <n v="1209"/>
    <d v="2023-07-29T00:00:00"/>
    <x v="0"/>
    <x v="0"/>
    <x v="3"/>
    <n v="4935"/>
    <n v="757"/>
    <s v="Sneha"/>
    <n v="4178"/>
    <x v="6"/>
    <n v="2023"/>
  </r>
  <r>
    <n v="1210"/>
    <d v="2023-07-30T00:00:00"/>
    <x v="1"/>
    <x v="1"/>
    <x v="2"/>
    <n v="4380"/>
    <n v="2533"/>
    <s v="Vikas"/>
    <n v="1847"/>
    <x v="6"/>
    <n v="2023"/>
  </r>
  <r>
    <n v="1211"/>
    <d v="2023-07-31T00:00:00"/>
    <x v="1"/>
    <x v="2"/>
    <x v="4"/>
    <n v="1884"/>
    <n v="450"/>
    <s v="Amit"/>
    <n v="1434"/>
    <x v="6"/>
    <n v="2023"/>
  </r>
  <r>
    <n v="1212"/>
    <d v="2023-08-01T00:00:00"/>
    <x v="0"/>
    <x v="1"/>
    <x v="1"/>
    <n v="4579"/>
    <n v="1379"/>
    <s v="Amit"/>
    <n v="3200"/>
    <x v="7"/>
    <n v="2023"/>
  </r>
  <r>
    <n v="1213"/>
    <d v="2023-08-02T00:00:00"/>
    <x v="3"/>
    <x v="2"/>
    <x v="4"/>
    <n v="4369"/>
    <n v="995"/>
    <s v="Sneha"/>
    <n v="3374"/>
    <x v="7"/>
    <n v="2023"/>
  </r>
  <r>
    <n v="1214"/>
    <d v="2023-08-03T00:00:00"/>
    <x v="3"/>
    <x v="0"/>
    <x v="5"/>
    <n v="1576"/>
    <n v="1253"/>
    <s v="Rahul"/>
    <n v="323"/>
    <x v="7"/>
    <n v="2023"/>
  </r>
  <r>
    <n v="1215"/>
    <d v="2023-08-04T00:00:00"/>
    <x v="0"/>
    <x v="0"/>
    <x v="0"/>
    <n v="3198"/>
    <n v="326"/>
    <s v="Sneha"/>
    <n v="2872"/>
    <x v="7"/>
    <n v="2023"/>
  </r>
  <r>
    <n v="1216"/>
    <d v="2023-08-05T00:00:00"/>
    <x v="0"/>
    <x v="2"/>
    <x v="2"/>
    <n v="4296"/>
    <n v="2320"/>
    <s v="Vikas"/>
    <n v="1976"/>
    <x v="7"/>
    <n v="2023"/>
  </r>
  <r>
    <n v="1217"/>
    <d v="2023-08-06T00:00:00"/>
    <x v="1"/>
    <x v="0"/>
    <x v="3"/>
    <n v="1140"/>
    <n v="1299"/>
    <s v="Sneha"/>
    <n v="-159"/>
    <x v="7"/>
    <n v="2023"/>
  </r>
  <r>
    <n v="1218"/>
    <d v="2023-08-07T00:00:00"/>
    <x v="0"/>
    <x v="1"/>
    <x v="5"/>
    <n v="4251"/>
    <n v="2345"/>
    <s v="Priya"/>
    <n v="1906"/>
    <x v="7"/>
    <n v="2023"/>
  </r>
  <r>
    <n v="1219"/>
    <d v="2023-08-08T00:00:00"/>
    <x v="2"/>
    <x v="0"/>
    <x v="2"/>
    <n v="4634"/>
    <n v="3478"/>
    <s v="Sneha"/>
    <n v="1156"/>
    <x v="7"/>
    <n v="2023"/>
  </r>
  <r>
    <n v="1220"/>
    <d v="2023-08-09T00:00:00"/>
    <x v="3"/>
    <x v="2"/>
    <x v="1"/>
    <n v="2006"/>
    <n v="3822"/>
    <s v="Priya"/>
    <n v="-1816"/>
    <x v="7"/>
    <n v="2023"/>
  </r>
  <r>
    <n v="1221"/>
    <d v="2023-08-10T00:00:00"/>
    <x v="0"/>
    <x v="1"/>
    <x v="3"/>
    <n v="693"/>
    <n v="3539"/>
    <s v="Rahul"/>
    <n v="-2846"/>
    <x v="7"/>
    <n v="2023"/>
  </r>
  <r>
    <n v="1222"/>
    <d v="2023-08-11T00:00:00"/>
    <x v="0"/>
    <x v="0"/>
    <x v="4"/>
    <n v="1646"/>
    <n v="3730"/>
    <s v="Rahul"/>
    <n v="-2084"/>
    <x v="7"/>
    <n v="2023"/>
  </r>
  <r>
    <n v="1223"/>
    <d v="2023-08-12T00:00:00"/>
    <x v="1"/>
    <x v="1"/>
    <x v="1"/>
    <n v="3237"/>
    <n v="1982"/>
    <s v="Vikas"/>
    <n v="1255"/>
    <x v="7"/>
    <n v="2023"/>
  </r>
  <r>
    <n v="1224"/>
    <d v="2023-08-13T00:00:00"/>
    <x v="2"/>
    <x v="0"/>
    <x v="4"/>
    <n v="4827"/>
    <n v="2280"/>
    <s v="Rahul"/>
    <n v="2547"/>
    <x v="7"/>
    <n v="2023"/>
  </r>
  <r>
    <n v="1225"/>
    <d v="2023-08-14T00:00:00"/>
    <x v="1"/>
    <x v="0"/>
    <x v="5"/>
    <n v="1845"/>
    <n v="1914"/>
    <s v="Priya"/>
    <n v="-69"/>
    <x v="7"/>
    <n v="2023"/>
  </r>
  <r>
    <n v="1226"/>
    <d v="2023-08-15T00:00:00"/>
    <x v="0"/>
    <x v="2"/>
    <x v="2"/>
    <n v="1865"/>
    <n v="3312"/>
    <s v="Rahul"/>
    <n v="-1447"/>
    <x v="7"/>
    <n v="2023"/>
  </r>
  <r>
    <n v="1227"/>
    <d v="2023-08-16T00:00:00"/>
    <x v="3"/>
    <x v="0"/>
    <x v="5"/>
    <n v="2982"/>
    <n v="1422"/>
    <s v="Priya"/>
    <n v="1560"/>
    <x v="7"/>
    <n v="2023"/>
  </r>
  <r>
    <n v="1228"/>
    <d v="2023-08-17T00:00:00"/>
    <x v="2"/>
    <x v="2"/>
    <x v="1"/>
    <n v="1850"/>
    <n v="2534"/>
    <s v="Vikas"/>
    <n v="-684"/>
    <x v="7"/>
    <n v="2023"/>
  </r>
  <r>
    <n v="1229"/>
    <d v="2023-08-18T00:00:00"/>
    <x v="2"/>
    <x v="0"/>
    <x v="0"/>
    <n v="3162"/>
    <n v="1886"/>
    <s v="Priya"/>
    <n v="1276"/>
    <x v="7"/>
    <n v="2023"/>
  </r>
  <r>
    <n v="1230"/>
    <d v="2023-08-19T00:00:00"/>
    <x v="2"/>
    <x v="1"/>
    <x v="1"/>
    <n v="2537"/>
    <n v="1347"/>
    <s v="Sneha"/>
    <n v="1190"/>
    <x v="7"/>
    <n v="2023"/>
  </r>
  <r>
    <n v="1231"/>
    <d v="2023-08-20T00:00:00"/>
    <x v="1"/>
    <x v="0"/>
    <x v="0"/>
    <n v="984"/>
    <n v="3859"/>
    <s v="Rahul"/>
    <n v="-2875"/>
    <x v="7"/>
    <n v="2023"/>
  </r>
  <r>
    <n v="1232"/>
    <d v="2023-08-21T00:00:00"/>
    <x v="0"/>
    <x v="1"/>
    <x v="1"/>
    <n v="2699"/>
    <n v="1515"/>
    <s v="Amit"/>
    <n v="1184"/>
    <x v="7"/>
    <n v="2023"/>
  </r>
  <r>
    <n v="1233"/>
    <d v="2023-08-22T00:00:00"/>
    <x v="0"/>
    <x v="2"/>
    <x v="1"/>
    <n v="2670"/>
    <n v="668"/>
    <s v="Sneha"/>
    <n v="2002"/>
    <x v="7"/>
    <n v="2023"/>
  </r>
  <r>
    <n v="1234"/>
    <d v="2023-08-23T00:00:00"/>
    <x v="0"/>
    <x v="0"/>
    <x v="3"/>
    <n v="2630"/>
    <n v="3212"/>
    <s v="Priya"/>
    <n v="-582"/>
    <x v="7"/>
    <n v="2023"/>
  </r>
  <r>
    <n v="1235"/>
    <d v="2023-08-24T00:00:00"/>
    <x v="2"/>
    <x v="1"/>
    <x v="0"/>
    <n v="589"/>
    <n v="1799"/>
    <s v="Sneha"/>
    <n v="-1210"/>
    <x v="7"/>
    <n v="2023"/>
  </r>
  <r>
    <n v="1236"/>
    <d v="2023-08-25T00:00:00"/>
    <x v="2"/>
    <x v="0"/>
    <x v="0"/>
    <n v="1250"/>
    <n v="972"/>
    <s v="Sneha"/>
    <n v="278"/>
    <x v="7"/>
    <n v="2023"/>
  </r>
  <r>
    <n v="1237"/>
    <d v="2023-08-26T00:00:00"/>
    <x v="3"/>
    <x v="1"/>
    <x v="2"/>
    <n v="3685"/>
    <n v="889"/>
    <s v="Sneha"/>
    <n v="2796"/>
    <x v="7"/>
    <n v="2023"/>
  </r>
  <r>
    <n v="1238"/>
    <d v="2023-08-27T00:00:00"/>
    <x v="2"/>
    <x v="0"/>
    <x v="5"/>
    <n v="655"/>
    <n v="1084"/>
    <s v="Sneha"/>
    <n v="-429"/>
    <x v="7"/>
    <n v="2023"/>
  </r>
  <r>
    <n v="1239"/>
    <d v="2023-08-28T00:00:00"/>
    <x v="0"/>
    <x v="1"/>
    <x v="4"/>
    <n v="2037"/>
    <n v="1381"/>
    <s v="Priya"/>
    <n v="656"/>
    <x v="7"/>
    <n v="2023"/>
  </r>
  <r>
    <n v="1240"/>
    <d v="2023-08-29T00:00:00"/>
    <x v="0"/>
    <x v="1"/>
    <x v="5"/>
    <n v="2813"/>
    <n v="1927"/>
    <s v="Rahul"/>
    <n v="886"/>
    <x v="7"/>
    <n v="2023"/>
  </r>
  <r>
    <n v="1241"/>
    <d v="2023-08-30T00:00:00"/>
    <x v="2"/>
    <x v="0"/>
    <x v="0"/>
    <n v="4711"/>
    <n v="3077"/>
    <s v="Rahul"/>
    <n v="1634"/>
    <x v="7"/>
    <n v="2023"/>
  </r>
  <r>
    <n v="1242"/>
    <d v="2023-08-31T00:00:00"/>
    <x v="3"/>
    <x v="0"/>
    <x v="3"/>
    <n v="2373"/>
    <n v="803"/>
    <s v="Sneha"/>
    <n v="1570"/>
    <x v="7"/>
    <n v="2023"/>
  </r>
  <r>
    <n v="1243"/>
    <d v="2023-09-01T00:00:00"/>
    <x v="2"/>
    <x v="1"/>
    <x v="0"/>
    <n v="4991"/>
    <n v="3895"/>
    <s v="Amit"/>
    <n v="1096"/>
    <x v="8"/>
    <n v="2023"/>
  </r>
  <r>
    <n v="1244"/>
    <d v="2023-09-02T00:00:00"/>
    <x v="2"/>
    <x v="2"/>
    <x v="2"/>
    <n v="2795"/>
    <n v="3483"/>
    <s v="Rahul"/>
    <n v="-688"/>
    <x v="8"/>
    <n v="2023"/>
  </r>
  <r>
    <n v="1245"/>
    <d v="2023-09-03T00:00:00"/>
    <x v="1"/>
    <x v="2"/>
    <x v="4"/>
    <n v="4077"/>
    <n v="560"/>
    <s v="Priya"/>
    <n v="3517"/>
    <x v="8"/>
    <n v="2023"/>
  </r>
  <r>
    <n v="1246"/>
    <d v="2023-09-04T00:00:00"/>
    <x v="2"/>
    <x v="2"/>
    <x v="4"/>
    <n v="554"/>
    <n v="2338"/>
    <s v="Priya"/>
    <n v="-1784"/>
    <x v="8"/>
    <n v="2023"/>
  </r>
  <r>
    <n v="1247"/>
    <d v="2023-09-05T00:00:00"/>
    <x v="0"/>
    <x v="2"/>
    <x v="1"/>
    <n v="1816"/>
    <n v="3810"/>
    <s v="Rahul"/>
    <n v="-1994"/>
    <x v="8"/>
    <n v="2023"/>
  </r>
  <r>
    <n v="1248"/>
    <d v="2023-09-06T00:00:00"/>
    <x v="0"/>
    <x v="0"/>
    <x v="3"/>
    <n v="3698"/>
    <n v="785"/>
    <s v="Priya"/>
    <n v="2913"/>
    <x v="8"/>
    <n v="2023"/>
  </r>
  <r>
    <n v="1249"/>
    <d v="2023-09-07T00:00:00"/>
    <x v="0"/>
    <x v="1"/>
    <x v="2"/>
    <n v="519"/>
    <n v="2170"/>
    <s v="Priya"/>
    <n v="-1651"/>
    <x v="8"/>
    <n v="2023"/>
  </r>
  <r>
    <n v="1250"/>
    <d v="2023-09-08T00:00:00"/>
    <x v="1"/>
    <x v="2"/>
    <x v="5"/>
    <n v="1507"/>
    <n v="2471"/>
    <s v="Vikas"/>
    <n v="-964"/>
    <x v="8"/>
    <n v="2023"/>
  </r>
  <r>
    <n v="1251"/>
    <d v="2023-09-09T00:00:00"/>
    <x v="1"/>
    <x v="2"/>
    <x v="3"/>
    <n v="4281"/>
    <n v="2009"/>
    <s v="Priya"/>
    <n v="2272"/>
    <x v="8"/>
    <n v="2023"/>
  </r>
  <r>
    <n v="1252"/>
    <d v="2023-09-10T00:00:00"/>
    <x v="2"/>
    <x v="2"/>
    <x v="1"/>
    <n v="708"/>
    <n v="1935"/>
    <s v="Rahul"/>
    <n v="-1227"/>
    <x v="8"/>
    <n v="2023"/>
  </r>
  <r>
    <n v="1253"/>
    <d v="2023-09-11T00:00:00"/>
    <x v="3"/>
    <x v="2"/>
    <x v="0"/>
    <n v="3204"/>
    <n v="3259"/>
    <s v="Rahul"/>
    <n v="-55"/>
    <x v="8"/>
    <n v="2023"/>
  </r>
  <r>
    <n v="1254"/>
    <d v="2023-09-12T00:00:00"/>
    <x v="2"/>
    <x v="1"/>
    <x v="2"/>
    <n v="2733"/>
    <n v="3051"/>
    <s v="Amit"/>
    <n v="-318"/>
    <x v="8"/>
    <n v="2023"/>
  </r>
  <r>
    <n v="1255"/>
    <d v="2023-09-13T00:00:00"/>
    <x v="1"/>
    <x v="0"/>
    <x v="4"/>
    <n v="2644"/>
    <n v="401"/>
    <s v="Sneha"/>
    <n v="2243"/>
    <x v="8"/>
    <n v="2023"/>
  </r>
  <r>
    <n v="1256"/>
    <d v="2023-09-14T00:00:00"/>
    <x v="2"/>
    <x v="1"/>
    <x v="0"/>
    <n v="2826"/>
    <n v="1956"/>
    <s v="Rahul"/>
    <n v="870"/>
    <x v="8"/>
    <n v="2023"/>
  </r>
  <r>
    <n v="1257"/>
    <d v="2023-09-15T00:00:00"/>
    <x v="1"/>
    <x v="2"/>
    <x v="0"/>
    <n v="1916"/>
    <n v="2296"/>
    <s v="Priya"/>
    <n v="-380"/>
    <x v="8"/>
    <n v="2023"/>
  </r>
  <r>
    <n v="1258"/>
    <d v="2023-09-16T00:00:00"/>
    <x v="0"/>
    <x v="2"/>
    <x v="1"/>
    <n v="2384"/>
    <n v="575"/>
    <s v="Amit"/>
    <n v="1809"/>
    <x v="8"/>
    <n v="2023"/>
  </r>
  <r>
    <n v="1259"/>
    <d v="2023-09-17T00:00:00"/>
    <x v="0"/>
    <x v="2"/>
    <x v="5"/>
    <n v="1693"/>
    <n v="3215"/>
    <s v="Vikas"/>
    <n v="-1522"/>
    <x v="8"/>
    <n v="2023"/>
  </r>
  <r>
    <n v="1260"/>
    <d v="2023-09-18T00:00:00"/>
    <x v="1"/>
    <x v="2"/>
    <x v="0"/>
    <n v="2366"/>
    <n v="2877"/>
    <s v="Amit"/>
    <n v="-511"/>
    <x v="8"/>
    <n v="2023"/>
  </r>
  <r>
    <n v="1261"/>
    <d v="2023-09-19T00:00:00"/>
    <x v="2"/>
    <x v="1"/>
    <x v="4"/>
    <n v="602"/>
    <n v="2827"/>
    <s v="Priya"/>
    <n v="-2225"/>
    <x v="8"/>
    <n v="2023"/>
  </r>
  <r>
    <n v="1262"/>
    <d v="2023-09-20T00:00:00"/>
    <x v="3"/>
    <x v="0"/>
    <x v="4"/>
    <n v="2128"/>
    <n v="3907"/>
    <s v="Rahul"/>
    <n v="-1779"/>
    <x v="8"/>
    <n v="2023"/>
  </r>
  <r>
    <n v="1263"/>
    <d v="2023-09-21T00:00:00"/>
    <x v="0"/>
    <x v="2"/>
    <x v="5"/>
    <n v="2656"/>
    <n v="3983"/>
    <s v="Amit"/>
    <n v="-1327"/>
    <x v="8"/>
    <n v="2023"/>
  </r>
  <r>
    <n v="1264"/>
    <d v="2023-09-22T00:00:00"/>
    <x v="3"/>
    <x v="1"/>
    <x v="5"/>
    <n v="1407"/>
    <n v="2566"/>
    <s v="Priya"/>
    <n v="-1159"/>
    <x v="8"/>
    <n v="2023"/>
  </r>
  <r>
    <n v="1265"/>
    <d v="2023-09-23T00:00:00"/>
    <x v="1"/>
    <x v="2"/>
    <x v="1"/>
    <n v="591"/>
    <n v="3216"/>
    <s v="Vikas"/>
    <n v="-2625"/>
    <x v="8"/>
    <n v="2023"/>
  </r>
  <r>
    <n v="1266"/>
    <d v="2023-09-24T00:00:00"/>
    <x v="1"/>
    <x v="2"/>
    <x v="3"/>
    <n v="2341"/>
    <n v="2541"/>
    <s v="Amit"/>
    <n v="-200"/>
    <x v="8"/>
    <n v="2023"/>
  </r>
  <r>
    <n v="1267"/>
    <d v="2023-09-25T00:00:00"/>
    <x v="3"/>
    <x v="2"/>
    <x v="4"/>
    <n v="1947"/>
    <n v="3277"/>
    <s v="Priya"/>
    <n v="-1330"/>
    <x v="8"/>
    <n v="2023"/>
  </r>
  <r>
    <n v="1268"/>
    <d v="2023-09-26T00:00:00"/>
    <x v="1"/>
    <x v="1"/>
    <x v="0"/>
    <n v="3418"/>
    <n v="3881"/>
    <s v="Sneha"/>
    <n v="-463"/>
    <x v="8"/>
    <n v="2023"/>
  </r>
  <r>
    <n v="1269"/>
    <d v="2023-09-27T00:00:00"/>
    <x v="2"/>
    <x v="0"/>
    <x v="1"/>
    <n v="1597"/>
    <n v="255"/>
    <s v="Rahul"/>
    <n v="1342"/>
    <x v="8"/>
    <n v="2023"/>
  </r>
  <r>
    <n v="1270"/>
    <d v="2023-09-28T00:00:00"/>
    <x v="2"/>
    <x v="1"/>
    <x v="5"/>
    <n v="2380"/>
    <n v="3748"/>
    <s v="Priya"/>
    <n v="-1368"/>
    <x v="8"/>
    <n v="2023"/>
  </r>
  <r>
    <n v="1271"/>
    <d v="2023-09-29T00:00:00"/>
    <x v="2"/>
    <x v="1"/>
    <x v="0"/>
    <n v="4736"/>
    <n v="1654"/>
    <s v="Sneha"/>
    <n v="3082"/>
    <x v="8"/>
    <n v="2023"/>
  </r>
  <r>
    <n v="1272"/>
    <d v="2023-09-30T00:00:00"/>
    <x v="1"/>
    <x v="1"/>
    <x v="3"/>
    <n v="3292"/>
    <n v="2286"/>
    <s v="Rahul"/>
    <n v="1006"/>
    <x v="8"/>
    <n v="2023"/>
  </r>
  <r>
    <n v="1273"/>
    <d v="2023-10-01T00:00:00"/>
    <x v="3"/>
    <x v="1"/>
    <x v="2"/>
    <n v="1749"/>
    <n v="761"/>
    <s v="Rahul"/>
    <n v="988"/>
    <x v="9"/>
    <n v="2023"/>
  </r>
  <r>
    <n v="1274"/>
    <d v="2023-10-02T00:00:00"/>
    <x v="0"/>
    <x v="1"/>
    <x v="5"/>
    <n v="4399"/>
    <n v="2512"/>
    <s v="Rahul"/>
    <n v="1887"/>
    <x v="9"/>
    <n v="2023"/>
  </r>
  <r>
    <n v="1275"/>
    <d v="2023-10-03T00:00:00"/>
    <x v="0"/>
    <x v="0"/>
    <x v="3"/>
    <n v="4099"/>
    <n v="3906"/>
    <s v="Sneha"/>
    <n v="193"/>
    <x v="9"/>
    <n v="2023"/>
  </r>
  <r>
    <n v="1276"/>
    <d v="2023-10-04T00:00:00"/>
    <x v="2"/>
    <x v="2"/>
    <x v="3"/>
    <n v="1528"/>
    <n v="1417"/>
    <s v="Amit"/>
    <n v="111"/>
    <x v="9"/>
    <n v="2023"/>
  </r>
  <r>
    <n v="1277"/>
    <d v="2023-10-05T00:00:00"/>
    <x v="0"/>
    <x v="2"/>
    <x v="4"/>
    <n v="2216"/>
    <n v="1546"/>
    <s v="Sneha"/>
    <n v="670"/>
    <x v="9"/>
    <n v="2023"/>
  </r>
  <r>
    <n v="1278"/>
    <d v="2023-10-06T00:00:00"/>
    <x v="1"/>
    <x v="1"/>
    <x v="2"/>
    <n v="4411"/>
    <n v="1286"/>
    <s v="Sneha"/>
    <n v="3125"/>
    <x v="9"/>
    <n v="2023"/>
  </r>
  <r>
    <n v="1279"/>
    <d v="2023-10-07T00:00:00"/>
    <x v="3"/>
    <x v="1"/>
    <x v="4"/>
    <n v="2876"/>
    <n v="2264"/>
    <s v="Priya"/>
    <n v="612"/>
    <x v="9"/>
    <n v="2023"/>
  </r>
  <r>
    <n v="1280"/>
    <d v="2023-10-08T00:00:00"/>
    <x v="1"/>
    <x v="1"/>
    <x v="3"/>
    <n v="3833"/>
    <n v="1413"/>
    <s v="Priya"/>
    <n v="2420"/>
    <x v="9"/>
    <n v="2023"/>
  </r>
  <r>
    <n v="1281"/>
    <d v="2023-10-09T00:00:00"/>
    <x v="1"/>
    <x v="2"/>
    <x v="2"/>
    <n v="1051"/>
    <n v="394"/>
    <s v="Vikas"/>
    <n v="657"/>
    <x v="9"/>
    <n v="2023"/>
  </r>
  <r>
    <n v="1282"/>
    <d v="2023-10-10T00:00:00"/>
    <x v="3"/>
    <x v="2"/>
    <x v="4"/>
    <n v="835"/>
    <n v="3539"/>
    <s v="Sneha"/>
    <n v="-2704"/>
    <x v="9"/>
    <n v="2023"/>
  </r>
  <r>
    <n v="1283"/>
    <d v="2023-10-11T00:00:00"/>
    <x v="0"/>
    <x v="2"/>
    <x v="2"/>
    <n v="4419"/>
    <n v="2663"/>
    <s v="Sneha"/>
    <n v="1756"/>
    <x v="9"/>
    <n v="2023"/>
  </r>
  <r>
    <n v="1284"/>
    <d v="2023-10-12T00:00:00"/>
    <x v="3"/>
    <x v="1"/>
    <x v="2"/>
    <n v="4381"/>
    <n v="3666"/>
    <s v="Vikas"/>
    <n v="715"/>
    <x v="9"/>
    <n v="2023"/>
  </r>
  <r>
    <n v="1285"/>
    <d v="2023-10-13T00:00:00"/>
    <x v="1"/>
    <x v="1"/>
    <x v="5"/>
    <n v="1162"/>
    <n v="220"/>
    <s v="Sneha"/>
    <n v="942"/>
    <x v="9"/>
    <n v="2023"/>
  </r>
  <r>
    <n v="1286"/>
    <d v="2023-10-14T00:00:00"/>
    <x v="3"/>
    <x v="2"/>
    <x v="3"/>
    <n v="1741"/>
    <n v="1324"/>
    <s v="Sneha"/>
    <n v="417"/>
    <x v="9"/>
    <n v="2023"/>
  </r>
  <r>
    <n v="1287"/>
    <d v="2023-10-15T00:00:00"/>
    <x v="3"/>
    <x v="1"/>
    <x v="3"/>
    <n v="1297"/>
    <n v="2006"/>
    <s v="Vikas"/>
    <n v="-709"/>
    <x v="9"/>
    <n v="2023"/>
  </r>
  <r>
    <n v="1288"/>
    <d v="2023-10-16T00:00:00"/>
    <x v="2"/>
    <x v="0"/>
    <x v="1"/>
    <n v="2301"/>
    <n v="3904"/>
    <s v="Vikas"/>
    <n v="-1603"/>
    <x v="9"/>
    <n v="2023"/>
  </r>
  <r>
    <n v="1289"/>
    <d v="2023-10-17T00:00:00"/>
    <x v="2"/>
    <x v="2"/>
    <x v="1"/>
    <n v="3967"/>
    <n v="252"/>
    <s v="Vikas"/>
    <n v="3715"/>
    <x v="9"/>
    <n v="2023"/>
  </r>
  <r>
    <n v="1290"/>
    <d v="2023-10-18T00:00:00"/>
    <x v="1"/>
    <x v="2"/>
    <x v="1"/>
    <n v="3441"/>
    <n v="655"/>
    <s v="Rahul"/>
    <n v="2786"/>
    <x v="9"/>
    <n v="2023"/>
  </r>
  <r>
    <n v="1291"/>
    <d v="2023-10-19T00:00:00"/>
    <x v="1"/>
    <x v="1"/>
    <x v="1"/>
    <n v="3419"/>
    <n v="3941"/>
    <s v="Priya"/>
    <n v="-522"/>
    <x v="9"/>
    <n v="2023"/>
  </r>
  <r>
    <n v="1292"/>
    <d v="2023-10-20T00:00:00"/>
    <x v="0"/>
    <x v="0"/>
    <x v="0"/>
    <n v="4294"/>
    <n v="2125"/>
    <s v="Vikas"/>
    <n v="2169"/>
    <x v="9"/>
    <n v="2023"/>
  </r>
  <r>
    <n v="1293"/>
    <d v="2023-10-21T00:00:00"/>
    <x v="1"/>
    <x v="2"/>
    <x v="1"/>
    <n v="755"/>
    <n v="3542"/>
    <s v="Rahul"/>
    <n v="-2787"/>
    <x v="9"/>
    <n v="2023"/>
  </r>
  <r>
    <n v="1294"/>
    <d v="2023-10-22T00:00:00"/>
    <x v="0"/>
    <x v="0"/>
    <x v="5"/>
    <n v="1835"/>
    <n v="1850"/>
    <s v="Priya"/>
    <n v="-15"/>
    <x v="9"/>
    <n v="2023"/>
  </r>
  <r>
    <n v="1295"/>
    <d v="2023-10-23T00:00:00"/>
    <x v="0"/>
    <x v="0"/>
    <x v="0"/>
    <n v="2046"/>
    <n v="950"/>
    <s v="Vikas"/>
    <n v="1096"/>
    <x v="9"/>
    <n v="2023"/>
  </r>
  <r>
    <n v="1296"/>
    <d v="2023-10-24T00:00:00"/>
    <x v="3"/>
    <x v="1"/>
    <x v="5"/>
    <n v="2177"/>
    <n v="3223"/>
    <s v="Sneha"/>
    <n v="-1046"/>
    <x v="9"/>
    <n v="2023"/>
  </r>
  <r>
    <n v="1297"/>
    <d v="2023-10-25T00:00:00"/>
    <x v="3"/>
    <x v="2"/>
    <x v="1"/>
    <n v="4651"/>
    <n v="1019"/>
    <s v="Sneha"/>
    <n v="3632"/>
    <x v="9"/>
    <n v="2023"/>
  </r>
  <r>
    <n v="1298"/>
    <d v="2023-10-26T00:00:00"/>
    <x v="1"/>
    <x v="0"/>
    <x v="3"/>
    <n v="907"/>
    <n v="3304"/>
    <s v="Priya"/>
    <n v="-2397"/>
    <x v="9"/>
    <n v="2023"/>
  </r>
  <r>
    <n v="1299"/>
    <d v="2023-10-27T00:00:00"/>
    <x v="2"/>
    <x v="2"/>
    <x v="0"/>
    <n v="1881"/>
    <n v="607"/>
    <s v="Amit"/>
    <n v="1274"/>
    <x v="9"/>
    <n v="2023"/>
  </r>
  <r>
    <n v="1300"/>
    <d v="2023-10-28T00:00:00"/>
    <x v="2"/>
    <x v="1"/>
    <x v="3"/>
    <n v="2111"/>
    <n v="1985"/>
    <s v="Priya"/>
    <n v="126"/>
    <x v="9"/>
    <n v="2023"/>
  </r>
  <r>
    <n v="1301"/>
    <d v="2023-10-29T00:00:00"/>
    <x v="0"/>
    <x v="2"/>
    <x v="5"/>
    <n v="2409"/>
    <n v="1059"/>
    <s v="Rahul"/>
    <n v="1350"/>
    <x v="9"/>
    <n v="2023"/>
  </r>
  <r>
    <n v="1302"/>
    <d v="2023-10-30T00:00:00"/>
    <x v="1"/>
    <x v="1"/>
    <x v="5"/>
    <n v="4748"/>
    <n v="974"/>
    <s v="Sneha"/>
    <n v="3774"/>
    <x v="9"/>
    <n v="2023"/>
  </r>
  <r>
    <n v="1303"/>
    <d v="2023-10-31T00:00:00"/>
    <x v="0"/>
    <x v="2"/>
    <x v="0"/>
    <n v="3909"/>
    <n v="1937"/>
    <s v="Sneha"/>
    <n v="1972"/>
    <x v="9"/>
    <n v="2023"/>
  </r>
  <r>
    <n v="1304"/>
    <d v="2023-11-01T00:00:00"/>
    <x v="3"/>
    <x v="2"/>
    <x v="2"/>
    <n v="3718"/>
    <n v="2368"/>
    <s v="Vikas"/>
    <n v="1350"/>
    <x v="10"/>
    <n v="2023"/>
  </r>
  <r>
    <n v="1305"/>
    <d v="2023-11-02T00:00:00"/>
    <x v="1"/>
    <x v="1"/>
    <x v="5"/>
    <n v="4659"/>
    <n v="1289"/>
    <s v="Rahul"/>
    <n v="3370"/>
    <x v="10"/>
    <n v="2023"/>
  </r>
  <r>
    <n v="1306"/>
    <d v="2023-11-03T00:00:00"/>
    <x v="1"/>
    <x v="0"/>
    <x v="2"/>
    <n v="2065"/>
    <n v="1299"/>
    <s v="Amit"/>
    <n v="766"/>
    <x v="10"/>
    <n v="2023"/>
  </r>
  <r>
    <n v="1307"/>
    <d v="2023-11-04T00:00:00"/>
    <x v="2"/>
    <x v="0"/>
    <x v="0"/>
    <n v="3493"/>
    <n v="1055"/>
    <s v="Rahul"/>
    <n v="2438"/>
    <x v="10"/>
    <n v="2023"/>
  </r>
  <r>
    <n v="1308"/>
    <d v="2023-11-05T00:00:00"/>
    <x v="1"/>
    <x v="2"/>
    <x v="5"/>
    <n v="2910"/>
    <n v="2756"/>
    <s v="Rahul"/>
    <n v="154"/>
    <x v="10"/>
    <n v="2023"/>
  </r>
  <r>
    <n v="1309"/>
    <d v="2023-11-06T00:00:00"/>
    <x v="2"/>
    <x v="2"/>
    <x v="3"/>
    <n v="4699"/>
    <n v="1934"/>
    <s v="Rahul"/>
    <n v="2765"/>
    <x v="10"/>
    <n v="2023"/>
  </r>
  <r>
    <n v="1310"/>
    <d v="2023-11-07T00:00:00"/>
    <x v="1"/>
    <x v="2"/>
    <x v="4"/>
    <n v="3839"/>
    <n v="3056"/>
    <s v="Rahul"/>
    <n v="783"/>
    <x v="10"/>
    <n v="2023"/>
  </r>
  <r>
    <n v="1311"/>
    <d v="2023-11-08T00:00:00"/>
    <x v="3"/>
    <x v="0"/>
    <x v="1"/>
    <n v="812"/>
    <n v="3972"/>
    <s v="Amit"/>
    <n v="-3160"/>
    <x v="10"/>
    <n v="2023"/>
  </r>
  <r>
    <n v="1312"/>
    <d v="2023-11-09T00:00:00"/>
    <x v="0"/>
    <x v="1"/>
    <x v="1"/>
    <n v="1812"/>
    <n v="1260"/>
    <s v="Rahul"/>
    <n v="552"/>
    <x v="10"/>
    <n v="2023"/>
  </r>
  <r>
    <n v="1313"/>
    <d v="2023-11-10T00:00:00"/>
    <x v="2"/>
    <x v="1"/>
    <x v="4"/>
    <n v="873"/>
    <n v="1108"/>
    <s v="Amit"/>
    <n v="-235"/>
    <x v="10"/>
    <n v="2023"/>
  </r>
  <r>
    <n v="1314"/>
    <d v="2023-11-11T00:00:00"/>
    <x v="2"/>
    <x v="1"/>
    <x v="4"/>
    <n v="1333"/>
    <n v="1131"/>
    <s v="Priya"/>
    <n v="202"/>
    <x v="10"/>
    <n v="2023"/>
  </r>
  <r>
    <n v="1315"/>
    <d v="2023-11-12T00:00:00"/>
    <x v="1"/>
    <x v="0"/>
    <x v="0"/>
    <n v="2573"/>
    <n v="262"/>
    <s v="Rahul"/>
    <n v="2311"/>
    <x v="10"/>
    <n v="2023"/>
  </r>
  <r>
    <n v="1316"/>
    <d v="2023-11-13T00:00:00"/>
    <x v="1"/>
    <x v="1"/>
    <x v="5"/>
    <n v="4544"/>
    <n v="1677"/>
    <s v="Vikas"/>
    <n v="2867"/>
    <x v="10"/>
    <n v="2023"/>
  </r>
  <r>
    <n v="1317"/>
    <d v="2023-11-14T00:00:00"/>
    <x v="1"/>
    <x v="0"/>
    <x v="3"/>
    <n v="3468"/>
    <n v="2054"/>
    <s v="Amit"/>
    <n v="1414"/>
    <x v="10"/>
    <n v="2023"/>
  </r>
  <r>
    <n v="1318"/>
    <d v="2023-11-15T00:00:00"/>
    <x v="2"/>
    <x v="2"/>
    <x v="1"/>
    <n v="4743"/>
    <n v="642"/>
    <s v="Amit"/>
    <n v="4101"/>
    <x v="10"/>
    <n v="2023"/>
  </r>
  <r>
    <n v="1319"/>
    <d v="2023-11-16T00:00:00"/>
    <x v="2"/>
    <x v="1"/>
    <x v="4"/>
    <n v="1448"/>
    <n v="788"/>
    <s v="Rahul"/>
    <n v="660"/>
    <x v="10"/>
    <n v="2023"/>
  </r>
  <r>
    <n v="1320"/>
    <d v="2023-11-17T00:00:00"/>
    <x v="2"/>
    <x v="1"/>
    <x v="2"/>
    <n v="3004"/>
    <n v="3802"/>
    <s v="Vikas"/>
    <n v="-798"/>
    <x v="10"/>
    <n v="2023"/>
  </r>
  <r>
    <n v="1321"/>
    <d v="2023-11-18T00:00:00"/>
    <x v="1"/>
    <x v="0"/>
    <x v="2"/>
    <n v="4642"/>
    <n v="2632"/>
    <s v="Vikas"/>
    <n v="2010"/>
    <x v="10"/>
    <n v="2023"/>
  </r>
  <r>
    <n v="1322"/>
    <d v="2023-11-19T00:00:00"/>
    <x v="1"/>
    <x v="2"/>
    <x v="4"/>
    <n v="4631"/>
    <n v="1225"/>
    <s v="Rahul"/>
    <n v="3406"/>
    <x v="10"/>
    <n v="2023"/>
  </r>
  <r>
    <n v="1323"/>
    <d v="2023-11-20T00:00:00"/>
    <x v="3"/>
    <x v="1"/>
    <x v="4"/>
    <n v="2757"/>
    <n v="1948"/>
    <s v="Vikas"/>
    <n v="809"/>
    <x v="10"/>
    <n v="2023"/>
  </r>
  <r>
    <n v="1324"/>
    <d v="2023-11-21T00:00:00"/>
    <x v="3"/>
    <x v="0"/>
    <x v="5"/>
    <n v="1675"/>
    <n v="917"/>
    <s v="Amit"/>
    <n v="758"/>
    <x v="10"/>
    <n v="2023"/>
  </r>
  <r>
    <n v="1325"/>
    <d v="2023-11-22T00:00:00"/>
    <x v="3"/>
    <x v="0"/>
    <x v="2"/>
    <n v="2609"/>
    <n v="1826"/>
    <s v="Rahul"/>
    <n v="783"/>
    <x v="10"/>
    <n v="2023"/>
  </r>
  <r>
    <n v="1326"/>
    <d v="2023-11-23T00:00:00"/>
    <x v="0"/>
    <x v="1"/>
    <x v="3"/>
    <n v="1705"/>
    <n v="1336"/>
    <s v="Rahul"/>
    <n v="369"/>
    <x v="10"/>
    <n v="2023"/>
  </r>
  <r>
    <n v="1327"/>
    <d v="2023-11-24T00:00:00"/>
    <x v="1"/>
    <x v="2"/>
    <x v="4"/>
    <n v="2658"/>
    <n v="3379"/>
    <s v="Rahul"/>
    <n v="-721"/>
    <x v="10"/>
    <n v="2023"/>
  </r>
  <r>
    <n v="1328"/>
    <d v="2023-11-25T00:00:00"/>
    <x v="1"/>
    <x v="1"/>
    <x v="3"/>
    <n v="1179"/>
    <n v="1373"/>
    <s v="Priya"/>
    <n v="-194"/>
    <x v="10"/>
    <n v="2023"/>
  </r>
  <r>
    <n v="1329"/>
    <d v="2023-11-26T00:00:00"/>
    <x v="2"/>
    <x v="0"/>
    <x v="1"/>
    <n v="1758"/>
    <n v="1814"/>
    <s v="Rahul"/>
    <n v="-56"/>
    <x v="10"/>
    <n v="2023"/>
  </r>
  <r>
    <n v="1330"/>
    <d v="2023-11-27T00:00:00"/>
    <x v="3"/>
    <x v="0"/>
    <x v="0"/>
    <n v="2401"/>
    <n v="1493"/>
    <s v="Sneha"/>
    <n v="908"/>
    <x v="10"/>
    <n v="2023"/>
  </r>
  <r>
    <n v="1331"/>
    <d v="2023-11-28T00:00:00"/>
    <x v="1"/>
    <x v="0"/>
    <x v="0"/>
    <n v="3487"/>
    <n v="1200"/>
    <s v="Sneha"/>
    <n v="2287"/>
    <x v="10"/>
    <n v="2023"/>
  </r>
  <r>
    <n v="1332"/>
    <d v="2023-11-29T00:00:00"/>
    <x v="2"/>
    <x v="2"/>
    <x v="1"/>
    <n v="1094"/>
    <n v="3339"/>
    <s v="Amit"/>
    <n v="-2245"/>
    <x v="10"/>
    <n v="2023"/>
  </r>
  <r>
    <n v="1333"/>
    <d v="2023-11-30T00:00:00"/>
    <x v="1"/>
    <x v="0"/>
    <x v="0"/>
    <n v="1986"/>
    <n v="2097"/>
    <s v="Priya"/>
    <n v="-111"/>
    <x v="10"/>
    <n v="2023"/>
  </r>
  <r>
    <n v="1334"/>
    <d v="2023-12-01T00:00:00"/>
    <x v="1"/>
    <x v="2"/>
    <x v="4"/>
    <n v="601"/>
    <n v="2649"/>
    <s v="Priya"/>
    <n v="-2048"/>
    <x v="11"/>
    <n v="2023"/>
  </r>
  <r>
    <n v="1335"/>
    <d v="2023-12-02T00:00:00"/>
    <x v="2"/>
    <x v="0"/>
    <x v="2"/>
    <n v="2924"/>
    <n v="2509"/>
    <s v="Vikas"/>
    <n v="415"/>
    <x v="11"/>
    <n v="2023"/>
  </r>
  <r>
    <n v="1336"/>
    <d v="2023-12-03T00:00:00"/>
    <x v="2"/>
    <x v="2"/>
    <x v="5"/>
    <n v="4780"/>
    <n v="226"/>
    <s v="Rahul"/>
    <n v="4554"/>
    <x v="11"/>
    <n v="2023"/>
  </r>
  <r>
    <n v="1337"/>
    <d v="2023-12-04T00:00:00"/>
    <x v="2"/>
    <x v="1"/>
    <x v="0"/>
    <n v="2582"/>
    <n v="2951"/>
    <s v="Sneha"/>
    <n v="-369"/>
    <x v="11"/>
    <n v="2023"/>
  </r>
  <r>
    <n v="1338"/>
    <d v="2023-12-05T00:00:00"/>
    <x v="0"/>
    <x v="2"/>
    <x v="1"/>
    <n v="1486"/>
    <n v="1635"/>
    <s v="Priya"/>
    <n v="-149"/>
    <x v="11"/>
    <n v="2023"/>
  </r>
  <r>
    <n v="1339"/>
    <d v="2023-12-06T00:00:00"/>
    <x v="3"/>
    <x v="1"/>
    <x v="5"/>
    <n v="1023"/>
    <n v="1973"/>
    <s v="Sneha"/>
    <n v="-950"/>
    <x v="11"/>
    <n v="2023"/>
  </r>
  <r>
    <n v="1340"/>
    <d v="2023-12-07T00:00:00"/>
    <x v="3"/>
    <x v="2"/>
    <x v="1"/>
    <n v="3168"/>
    <n v="725"/>
    <s v="Sneha"/>
    <n v="2443"/>
    <x v="11"/>
    <n v="2023"/>
  </r>
  <r>
    <n v="1341"/>
    <d v="2023-12-08T00:00:00"/>
    <x v="0"/>
    <x v="1"/>
    <x v="4"/>
    <n v="3711"/>
    <n v="3061"/>
    <s v="Rahul"/>
    <n v="650"/>
    <x v="11"/>
    <n v="2023"/>
  </r>
  <r>
    <n v="1342"/>
    <d v="2023-12-09T00:00:00"/>
    <x v="2"/>
    <x v="2"/>
    <x v="1"/>
    <n v="2908"/>
    <n v="3704"/>
    <s v="Sneha"/>
    <n v="-796"/>
    <x v="11"/>
    <n v="2023"/>
  </r>
  <r>
    <n v="1343"/>
    <d v="2023-12-10T00:00:00"/>
    <x v="2"/>
    <x v="1"/>
    <x v="2"/>
    <n v="4466"/>
    <n v="768"/>
    <s v="Amit"/>
    <n v="3698"/>
    <x v="11"/>
    <n v="2023"/>
  </r>
  <r>
    <n v="1344"/>
    <d v="2023-12-11T00:00:00"/>
    <x v="0"/>
    <x v="0"/>
    <x v="4"/>
    <n v="3749"/>
    <n v="258"/>
    <s v="Amit"/>
    <n v="3491"/>
    <x v="11"/>
    <n v="2023"/>
  </r>
  <r>
    <n v="1345"/>
    <d v="2023-12-12T00:00:00"/>
    <x v="1"/>
    <x v="1"/>
    <x v="0"/>
    <n v="4544"/>
    <n v="3289"/>
    <s v="Priya"/>
    <n v="1255"/>
    <x v="11"/>
    <n v="2023"/>
  </r>
  <r>
    <n v="1346"/>
    <d v="2023-12-13T00:00:00"/>
    <x v="0"/>
    <x v="2"/>
    <x v="5"/>
    <n v="4542"/>
    <n v="1438"/>
    <s v="Priya"/>
    <n v="3104"/>
    <x v="11"/>
    <n v="2023"/>
  </r>
  <r>
    <n v="1347"/>
    <d v="2023-12-14T00:00:00"/>
    <x v="0"/>
    <x v="0"/>
    <x v="3"/>
    <n v="3711"/>
    <n v="3111"/>
    <s v="Vikas"/>
    <n v="600"/>
    <x v="11"/>
    <n v="2023"/>
  </r>
  <r>
    <n v="1348"/>
    <d v="2023-12-15T00:00:00"/>
    <x v="1"/>
    <x v="0"/>
    <x v="2"/>
    <n v="4032"/>
    <n v="3233"/>
    <s v="Sneha"/>
    <n v="799"/>
    <x v="11"/>
    <n v="2023"/>
  </r>
  <r>
    <n v="1349"/>
    <d v="2023-12-16T00:00:00"/>
    <x v="3"/>
    <x v="1"/>
    <x v="5"/>
    <n v="3301"/>
    <n v="2468"/>
    <s v="Priya"/>
    <n v="833"/>
    <x v="11"/>
    <n v="2023"/>
  </r>
  <r>
    <n v="1350"/>
    <d v="2023-12-17T00:00:00"/>
    <x v="2"/>
    <x v="1"/>
    <x v="3"/>
    <n v="2916"/>
    <n v="3477"/>
    <s v="Rahul"/>
    <n v="-561"/>
    <x v="11"/>
    <n v="2023"/>
  </r>
  <r>
    <n v="1351"/>
    <d v="2023-12-18T00:00:00"/>
    <x v="3"/>
    <x v="0"/>
    <x v="0"/>
    <n v="2046"/>
    <n v="591"/>
    <s v="Priya"/>
    <n v="1455"/>
    <x v="11"/>
    <n v="2023"/>
  </r>
  <r>
    <n v="1352"/>
    <d v="2023-12-19T00:00:00"/>
    <x v="2"/>
    <x v="1"/>
    <x v="1"/>
    <n v="1270"/>
    <n v="2530"/>
    <s v="Amit"/>
    <n v="-1260"/>
    <x v="11"/>
    <n v="2023"/>
  </r>
  <r>
    <n v="1353"/>
    <d v="2023-12-20T00:00:00"/>
    <x v="3"/>
    <x v="0"/>
    <x v="2"/>
    <n v="1901"/>
    <n v="2521"/>
    <s v="Sneha"/>
    <n v="-620"/>
    <x v="11"/>
    <n v="2023"/>
  </r>
  <r>
    <n v="1354"/>
    <d v="2023-12-21T00:00:00"/>
    <x v="0"/>
    <x v="0"/>
    <x v="2"/>
    <n v="575"/>
    <n v="2956"/>
    <s v="Amit"/>
    <n v="-2381"/>
    <x v="11"/>
    <n v="2023"/>
  </r>
  <r>
    <n v="1355"/>
    <d v="2023-12-22T00:00:00"/>
    <x v="3"/>
    <x v="1"/>
    <x v="4"/>
    <n v="2466"/>
    <n v="1779"/>
    <s v="Priya"/>
    <n v="687"/>
    <x v="11"/>
    <n v="2023"/>
  </r>
  <r>
    <n v="1356"/>
    <d v="2023-12-23T00:00:00"/>
    <x v="0"/>
    <x v="1"/>
    <x v="4"/>
    <n v="3623"/>
    <n v="2679"/>
    <s v="Priya"/>
    <n v="944"/>
    <x v="11"/>
    <n v="2023"/>
  </r>
  <r>
    <n v="1357"/>
    <d v="2023-12-24T00:00:00"/>
    <x v="2"/>
    <x v="2"/>
    <x v="4"/>
    <n v="4509"/>
    <n v="2373"/>
    <s v="Amit"/>
    <n v="2136"/>
    <x v="11"/>
    <n v="2023"/>
  </r>
  <r>
    <n v="1358"/>
    <d v="2023-12-25T00:00:00"/>
    <x v="2"/>
    <x v="1"/>
    <x v="0"/>
    <n v="4590"/>
    <n v="1572"/>
    <s v="Vikas"/>
    <n v="3018"/>
    <x v="11"/>
    <n v="2023"/>
  </r>
  <r>
    <n v="1359"/>
    <d v="2023-12-26T00:00:00"/>
    <x v="2"/>
    <x v="0"/>
    <x v="0"/>
    <n v="4215"/>
    <n v="3777"/>
    <s v="Vikas"/>
    <n v="438"/>
    <x v="11"/>
    <n v="2023"/>
  </r>
  <r>
    <n v="1360"/>
    <d v="2023-12-27T00:00:00"/>
    <x v="0"/>
    <x v="0"/>
    <x v="2"/>
    <n v="2820"/>
    <n v="3970"/>
    <s v="Priya"/>
    <n v="-1150"/>
    <x v="11"/>
    <n v="2023"/>
  </r>
  <r>
    <n v="1361"/>
    <d v="2023-12-28T00:00:00"/>
    <x v="1"/>
    <x v="2"/>
    <x v="3"/>
    <n v="4378"/>
    <n v="2254"/>
    <s v="Vikas"/>
    <n v="2124"/>
    <x v="11"/>
    <n v="2023"/>
  </r>
  <r>
    <n v="1362"/>
    <d v="2023-12-29T00:00:00"/>
    <x v="0"/>
    <x v="2"/>
    <x v="5"/>
    <n v="4856"/>
    <n v="1103"/>
    <s v="Amit"/>
    <n v="3753"/>
    <x v="11"/>
    <n v="2023"/>
  </r>
  <r>
    <n v="1363"/>
    <d v="2023-12-30T00:00:00"/>
    <x v="1"/>
    <x v="0"/>
    <x v="5"/>
    <n v="1415"/>
    <n v="2941"/>
    <s v="Sneha"/>
    <n v="-1526"/>
    <x v="11"/>
    <n v="2023"/>
  </r>
  <r>
    <n v="1364"/>
    <d v="2023-12-31T00:00:00"/>
    <x v="0"/>
    <x v="2"/>
    <x v="1"/>
    <n v="3716"/>
    <n v="1728"/>
    <s v="Priya"/>
    <n v="1988"/>
    <x v="11"/>
    <n v="2023"/>
  </r>
  <r>
    <n v="1365"/>
    <d v="2024-01-01T00:00:00"/>
    <x v="0"/>
    <x v="0"/>
    <x v="3"/>
    <n v="2930"/>
    <n v="2274"/>
    <s v="Rahul"/>
    <n v="656"/>
    <x v="0"/>
    <n v="2024"/>
  </r>
  <r>
    <n v="1366"/>
    <d v="2024-01-02T00:00:00"/>
    <x v="0"/>
    <x v="1"/>
    <x v="0"/>
    <n v="1164"/>
    <n v="3907"/>
    <s v="Vikas"/>
    <n v="-2743"/>
    <x v="0"/>
    <n v="2024"/>
  </r>
  <r>
    <n v="1367"/>
    <d v="2024-01-03T00:00:00"/>
    <x v="0"/>
    <x v="0"/>
    <x v="0"/>
    <n v="1791"/>
    <n v="915"/>
    <s v="Vikas"/>
    <n v="876"/>
    <x v="0"/>
    <n v="2024"/>
  </r>
  <r>
    <n v="1368"/>
    <d v="2024-01-04T00:00:00"/>
    <x v="2"/>
    <x v="2"/>
    <x v="4"/>
    <n v="650"/>
    <n v="1317"/>
    <s v="Rahul"/>
    <n v="-667"/>
    <x v="0"/>
    <n v="2024"/>
  </r>
  <r>
    <n v="1369"/>
    <d v="2024-01-05T00:00:00"/>
    <x v="1"/>
    <x v="1"/>
    <x v="3"/>
    <n v="4144"/>
    <n v="633"/>
    <s v="Rahul"/>
    <n v="3511"/>
    <x v="0"/>
    <n v="2024"/>
  </r>
  <r>
    <n v="1370"/>
    <d v="2024-01-06T00:00:00"/>
    <x v="1"/>
    <x v="0"/>
    <x v="3"/>
    <n v="1743"/>
    <n v="3804"/>
    <s v="Amit"/>
    <n v="-2061"/>
    <x v="0"/>
    <n v="2024"/>
  </r>
  <r>
    <n v="1371"/>
    <d v="2024-01-07T00:00:00"/>
    <x v="0"/>
    <x v="0"/>
    <x v="0"/>
    <n v="2088"/>
    <n v="677"/>
    <s v="Amit"/>
    <n v="1411"/>
    <x v="0"/>
    <n v="2024"/>
  </r>
  <r>
    <n v="1372"/>
    <d v="2024-01-08T00:00:00"/>
    <x v="1"/>
    <x v="2"/>
    <x v="3"/>
    <n v="2892"/>
    <n v="3135"/>
    <s v="Vikas"/>
    <n v="-243"/>
    <x v="0"/>
    <n v="2024"/>
  </r>
  <r>
    <n v="1373"/>
    <d v="2024-01-09T00:00:00"/>
    <x v="3"/>
    <x v="2"/>
    <x v="4"/>
    <n v="3465"/>
    <n v="2688"/>
    <s v="Sneha"/>
    <n v="777"/>
    <x v="0"/>
    <n v="2024"/>
  </r>
  <r>
    <n v="1374"/>
    <d v="2024-01-10T00:00:00"/>
    <x v="3"/>
    <x v="0"/>
    <x v="4"/>
    <n v="2963"/>
    <n v="639"/>
    <s v="Amit"/>
    <n v="2324"/>
    <x v="0"/>
    <n v="2024"/>
  </r>
  <r>
    <n v="1375"/>
    <d v="2024-01-11T00:00:00"/>
    <x v="2"/>
    <x v="1"/>
    <x v="2"/>
    <n v="1255"/>
    <n v="932"/>
    <s v="Amit"/>
    <n v="323"/>
    <x v="0"/>
    <n v="2024"/>
  </r>
  <r>
    <n v="1376"/>
    <d v="2024-01-12T00:00:00"/>
    <x v="2"/>
    <x v="2"/>
    <x v="0"/>
    <n v="4234"/>
    <n v="351"/>
    <s v="Priya"/>
    <n v="3883"/>
    <x v="0"/>
    <n v="2024"/>
  </r>
  <r>
    <n v="1377"/>
    <d v="2024-01-13T00:00:00"/>
    <x v="2"/>
    <x v="1"/>
    <x v="0"/>
    <n v="4208"/>
    <n v="2945"/>
    <s v="Priya"/>
    <n v="1263"/>
    <x v="0"/>
    <n v="2024"/>
  </r>
  <r>
    <n v="1378"/>
    <d v="2024-01-14T00:00:00"/>
    <x v="3"/>
    <x v="2"/>
    <x v="3"/>
    <n v="1822"/>
    <n v="1873"/>
    <s v="Amit"/>
    <n v="-51"/>
    <x v="0"/>
    <n v="2024"/>
  </r>
  <r>
    <n v="1379"/>
    <d v="2024-01-15T00:00:00"/>
    <x v="2"/>
    <x v="1"/>
    <x v="2"/>
    <n v="3283"/>
    <n v="2888"/>
    <s v="Sneha"/>
    <n v="395"/>
    <x v="0"/>
    <n v="2024"/>
  </r>
  <r>
    <n v="1380"/>
    <d v="2024-01-16T00:00:00"/>
    <x v="2"/>
    <x v="0"/>
    <x v="3"/>
    <n v="810"/>
    <n v="3886"/>
    <s v="Vikas"/>
    <n v="-3076"/>
    <x v="0"/>
    <n v="2024"/>
  </r>
  <r>
    <n v="1381"/>
    <d v="2024-01-17T00:00:00"/>
    <x v="0"/>
    <x v="1"/>
    <x v="2"/>
    <n v="3142"/>
    <n v="603"/>
    <s v="Rahul"/>
    <n v="2539"/>
    <x v="0"/>
    <n v="2024"/>
  </r>
  <r>
    <n v="1382"/>
    <d v="2024-01-18T00:00:00"/>
    <x v="2"/>
    <x v="0"/>
    <x v="2"/>
    <n v="4363"/>
    <n v="2703"/>
    <s v="Amit"/>
    <n v="1660"/>
    <x v="0"/>
    <n v="2024"/>
  </r>
  <r>
    <n v="1383"/>
    <d v="2024-01-19T00:00:00"/>
    <x v="3"/>
    <x v="1"/>
    <x v="2"/>
    <n v="801"/>
    <n v="3322"/>
    <s v="Sneha"/>
    <n v="-2521"/>
    <x v="0"/>
    <n v="2024"/>
  </r>
  <r>
    <n v="1384"/>
    <d v="2024-01-20T00:00:00"/>
    <x v="2"/>
    <x v="0"/>
    <x v="5"/>
    <n v="2471"/>
    <n v="2798"/>
    <s v="Sneha"/>
    <n v="-327"/>
    <x v="0"/>
    <n v="2024"/>
  </r>
  <r>
    <n v="1385"/>
    <d v="2024-01-21T00:00:00"/>
    <x v="2"/>
    <x v="0"/>
    <x v="3"/>
    <n v="1839"/>
    <n v="3211"/>
    <s v="Sneha"/>
    <n v="-1372"/>
    <x v="0"/>
    <n v="2024"/>
  </r>
  <r>
    <n v="1386"/>
    <d v="2024-01-22T00:00:00"/>
    <x v="0"/>
    <x v="1"/>
    <x v="3"/>
    <n v="2464"/>
    <n v="1988"/>
    <s v="Amit"/>
    <n v="476"/>
    <x v="0"/>
    <n v="2024"/>
  </r>
  <r>
    <n v="1387"/>
    <d v="2024-01-23T00:00:00"/>
    <x v="0"/>
    <x v="2"/>
    <x v="1"/>
    <n v="1678"/>
    <n v="3686"/>
    <s v="Amit"/>
    <n v="-2008"/>
    <x v="0"/>
    <n v="2024"/>
  </r>
  <r>
    <n v="1388"/>
    <d v="2024-01-24T00:00:00"/>
    <x v="2"/>
    <x v="0"/>
    <x v="2"/>
    <n v="4204"/>
    <n v="3821"/>
    <s v="Sneha"/>
    <n v="383"/>
    <x v="0"/>
    <n v="2024"/>
  </r>
  <r>
    <n v="1389"/>
    <d v="2024-01-25T00:00:00"/>
    <x v="2"/>
    <x v="1"/>
    <x v="0"/>
    <n v="3177"/>
    <n v="2176"/>
    <s v="Sneha"/>
    <n v="1001"/>
    <x v="0"/>
    <n v="2024"/>
  </r>
  <r>
    <n v="1390"/>
    <d v="2024-01-26T00:00:00"/>
    <x v="3"/>
    <x v="0"/>
    <x v="3"/>
    <n v="916"/>
    <n v="2118"/>
    <s v="Amit"/>
    <n v="-1202"/>
    <x v="0"/>
    <n v="2024"/>
  </r>
  <r>
    <n v="1391"/>
    <d v="2024-01-27T00:00:00"/>
    <x v="1"/>
    <x v="0"/>
    <x v="1"/>
    <n v="2322"/>
    <n v="845"/>
    <s v="Vikas"/>
    <n v="1477"/>
    <x v="0"/>
    <n v="2024"/>
  </r>
  <r>
    <n v="1392"/>
    <d v="2024-01-28T00:00:00"/>
    <x v="1"/>
    <x v="1"/>
    <x v="3"/>
    <n v="3899"/>
    <n v="259"/>
    <s v="Amit"/>
    <n v="3640"/>
    <x v="0"/>
    <n v="2024"/>
  </r>
  <r>
    <n v="1393"/>
    <d v="2024-01-29T00:00:00"/>
    <x v="2"/>
    <x v="0"/>
    <x v="0"/>
    <n v="4692"/>
    <n v="1698"/>
    <s v="Priya"/>
    <n v="2994"/>
    <x v="0"/>
    <n v="2024"/>
  </r>
  <r>
    <n v="1394"/>
    <d v="2024-01-30T00:00:00"/>
    <x v="1"/>
    <x v="2"/>
    <x v="5"/>
    <n v="2225"/>
    <n v="645"/>
    <s v="Sneha"/>
    <n v="1580"/>
    <x v="0"/>
    <n v="2024"/>
  </r>
  <r>
    <n v="1395"/>
    <d v="2024-01-31T00:00:00"/>
    <x v="1"/>
    <x v="1"/>
    <x v="2"/>
    <n v="1013"/>
    <n v="2023"/>
    <s v="Vikas"/>
    <n v="-1010"/>
    <x v="0"/>
    <n v="2024"/>
  </r>
  <r>
    <n v="1396"/>
    <d v="2024-02-01T00:00:00"/>
    <x v="1"/>
    <x v="0"/>
    <x v="2"/>
    <n v="4074"/>
    <n v="1166"/>
    <s v="Rahul"/>
    <n v="2908"/>
    <x v="1"/>
    <n v="2024"/>
  </r>
  <r>
    <n v="1397"/>
    <d v="2024-02-02T00:00:00"/>
    <x v="3"/>
    <x v="1"/>
    <x v="4"/>
    <n v="2913"/>
    <n v="2593"/>
    <s v="Amit"/>
    <n v="320"/>
    <x v="1"/>
    <n v="2024"/>
  </r>
  <r>
    <n v="1398"/>
    <d v="2024-02-03T00:00:00"/>
    <x v="3"/>
    <x v="1"/>
    <x v="0"/>
    <n v="3690"/>
    <n v="3475"/>
    <s v="Sneha"/>
    <n v="215"/>
    <x v="1"/>
    <n v="2024"/>
  </r>
  <r>
    <n v="1399"/>
    <d v="2024-02-04T00:00:00"/>
    <x v="2"/>
    <x v="2"/>
    <x v="0"/>
    <n v="3022"/>
    <n v="1881"/>
    <s v="Amit"/>
    <n v="1141"/>
    <x v="1"/>
    <n v="2024"/>
  </r>
  <r>
    <n v="1400"/>
    <d v="2024-02-05T00:00:00"/>
    <x v="3"/>
    <x v="1"/>
    <x v="1"/>
    <n v="1539"/>
    <n v="3303"/>
    <s v="Rahul"/>
    <n v="-1764"/>
    <x v="1"/>
    <n v="2024"/>
  </r>
  <r>
    <n v="1401"/>
    <d v="2024-02-06T00:00:00"/>
    <x v="1"/>
    <x v="1"/>
    <x v="1"/>
    <n v="1726"/>
    <n v="871"/>
    <s v="Amit"/>
    <n v="855"/>
    <x v="1"/>
    <n v="2024"/>
  </r>
  <r>
    <n v="1402"/>
    <d v="2024-02-07T00:00:00"/>
    <x v="3"/>
    <x v="1"/>
    <x v="1"/>
    <n v="4251"/>
    <n v="284"/>
    <s v="Vikas"/>
    <n v="3967"/>
    <x v="1"/>
    <n v="2024"/>
  </r>
  <r>
    <n v="1403"/>
    <d v="2024-02-08T00:00:00"/>
    <x v="0"/>
    <x v="1"/>
    <x v="5"/>
    <n v="606"/>
    <n v="290"/>
    <s v="Rahul"/>
    <n v="316"/>
    <x v="1"/>
    <n v="2024"/>
  </r>
  <r>
    <n v="1404"/>
    <d v="2024-02-09T00:00:00"/>
    <x v="1"/>
    <x v="1"/>
    <x v="1"/>
    <n v="4852"/>
    <n v="1263"/>
    <s v="Priya"/>
    <n v="3589"/>
    <x v="1"/>
    <n v="2024"/>
  </r>
  <r>
    <n v="1405"/>
    <d v="2024-02-10T00:00:00"/>
    <x v="1"/>
    <x v="0"/>
    <x v="0"/>
    <n v="2117"/>
    <n v="957"/>
    <s v="Priya"/>
    <n v="1160"/>
    <x v="1"/>
    <n v="2024"/>
  </r>
  <r>
    <n v="1406"/>
    <d v="2024-02-11T00:00:00"/>
    <x v="2"/>
    <x v="1"/>
    <x v="1"/>
    <n v="3758"/>
    <n v="2426"/>
    <s v="Sneha"/>
    <n v="1332"/>
    <x v="1"/>
    <n v="2024"/>
  </r>
  <r>
    <n v="1407"/>
    <d v="2024-02-12T00:00:00"/>
    <x v="2"/>
    <x v="0"/>
    <x v="3"/>
    <n v="3584"/>
    <n v="1810"/>
    <s v="Priya"/>
    <n v="1774"/>
    <x v="1"/>
    <n v="2024"/>
  </r>
  <r>
    <n v="1408"/>
    <d v="2024-02-13T00:00:00"/>
    <x v="2"/>
    <x v="0"/>
    <x v="3"/>
    <n v="931"/>
    <n v="2542"/>
    <s v="Amit"/>
    <n v="-1611"/>
    <x v="1"/>
    <n v="2024"/>
  </r>
  <r>
    <n v="1409"/>
    <d v="2024-02-14T00:00:00"/>
    <x v="3"/>
    <x v="2"/>
    <x v="4"/>
    <n v="1290"/>
    <n v="2828"/>
    <s v="Vikas"/>
    <n v="-1538"/>
    <x v="1"/>
    <n v="2024"/>
  </r>
  <r>
    <n v="1410"/>
    <d v="2024-02-15T00:00:00"/>
    <x v="2"/>
    <x v="2"/>
    <x v="3"/>
    <n v="4968"/>
    <n v="2627"/>
    <s v="Priya"/>
    <n v="2341"/>
    <x v="1"/>
    <n v="2024"/>
  </r>
  <r>
    <n v="1411"/>
    <d v="2024-02-16T00:00:00"/>
    <x v="2"/>
    <x v="1"/>
    <x v="4"/>
    <n v="2518"/>
    <n v="751"/>
    <s v="Sneha"/>
    <n v="1767"/>
    <x v="1"/>
    <n v="2024"/>
  </r>
  <r>
    <n v="1412"/>
    <d v="2024-02-17T00:00:00"/>
    <x v="2"/>
    <x v="2"/>
    <x v="3"/>
    <n v="4382"/>
    <n v="327"/>
    <s v="Amit"/>
    <n v="4055"/>
    <x v="1"/>
    <n v="2024"/>
  </r>
  <r>
    <n v="1413"/>
    <d v="2024-02-18T00:00:00"/>
    <x v="3"/>
    <x v="0"/>
    <x v="5"/>
    <n v="3896"/>
    <n v="3479"/>
    <s v="Sneha"/>
    <n v="417"/>
    <x v="1"/>
    <n v="2024"/>
  </r>
  <r>
    <n v="1414"/>
    <d v="2024-02-19T00:00:00"/>
    <x v="0"/>
    <x v="1"/>
    <x v="4"/>
    <n v="4462"/>
    <n v="213"/>
    <s v="Sneha"/>
    <n v="4249"/>
    <x v="1"/>
    <n v="2024"/>
  </r>
  <r>
    <n v="1415"/>
    <d v="2024-02-20T00:00:00"/>
    <x v="1"/>
    <x v="2"/>
    <x v="3"/>
    <n v="1330"/>
    <n v="1387"/>
    <s v="Vikas"/>
    <n v="-57"/>
    <x v="1"/>
    <n v="2024"/>
  </r>
  <r>
    <n v="1416"/>
    <d v="2024-02-21T00:00:00"/>
    <x v="2"/>
    <x v="0"/>
    <x v="4"/>
    <n v="4376"/>
    <n v="686"/>
    <s v="Vikas"/>
    <n v="3690"/>
    <x v="1"/>
    <n v="2024"/>
  </r>
  <r>
    <n v="1417"/>
    <d v="2024-02-22T00:00:00"/>
    <x v="0"/>
    <x v="2"/>
    <x v="2"/>
    <n v="4423"/>
    <n v="2115"/>
    <s v="Sneha"/>
    <n v="2308"/>
    <x v="1"/>
    <n v="2024"/>
  </r>
  <r>
    <n v="1418"/>
    <d v="2024-02-23T00:00:00"/>
    <x v="1"/>
    <x v="1"/>
    <x v="4"/>
    <n v="2720"/>
    <n v="3667"/>
    <s v="Sneha"/>
    <n v="-947"/>
    <x v="1"/>
    <n v="2024"/>
  </r>
  <r>
    <n v="1419"/>
    <d v="2024-02-24T00:00:00"/>
    <x v="2"/>
    <x v="2"/>
    <x v="3"/>
    <n v="1221"/>
    <n v="559"/>
    <s v="Priya"/>
    <n v="662"/>
    <x v="1"/>
    <n v="2024"/>
  </r>
  <r>
    <n v="1420"/>
    <d v="2024-02-25T00:00:00"/>
    <x v="2"/>
    <x v="1"/>
    <x v="0"/>
    <n v="2788"/>
    <n v="531"/>
    <s v="Priya"/>
    <n v="2257"/>
    <x v="1"/>
    <n v="2024"/>
  </r>
  <r>
    <n v="1421"/>
    <d v="2024-02-26T00:00:00"/>
    <x v="3"/>
    <x v="1"/>
    <x v="1"/>
    <n v="698"/>
    <n v="2232"/>
    <s v="Rahul"/>
    <n v="-1534"/>
    <x v="1"/>
    <n v="2024"/>
  </r>
  <r>
    <n v="1422"/>
    <d v="2024-02-27T00:00:00"/>
    <x v="0"/>
    <x v="2"/>
    <x v="4"/>
    <n v="762"/>
    <n v="2046"/>
    <s v="Vikas"/>
    <n v="-1284"/>
    <x v="1"/>
    <n v="2024"/>
  </r>
  <r>
    <n v="1423"/>
    <d v="2024-02-28T00:00:00"/>
    <x v="3"/>
    <x v="1"/>
    <x v="2"/>
    <n v="4004"/>
    <n v="1644"/>
    <s v="Priya"/>
    <n v="2360"/>
    <x v="1"/>
    <n v="2024"/>
  </r>
  <r>
    <n v="1424"/>
    <d v="2024-02-29T00:00:00"/>
    <x v="1"/>
    <x v="1"/>
    <x v="4"/>
    <n v="4673"/>
    <n v="1306"/>
    <s v="Sneha"/>
    <n v="3367"/>
    <x v="1"/>
    <n v="2024"/>
  </r>
  <r>
    <n v="1425"/>
    <d v="2024-03-01T00:00:00"/>
    <x v="0"/>
    <x v="1"/>
    <x v="4"/>
    <n v="2941"/>
    <n v="2451"/>
    <s v="Priya"/>
    <n v="490"/>
    <x v="2"/>
    <n v="2024"/>
  </r>
  <r>
    <n v="1426"/>
    <d v="2024-03-02T00:00:00"/>
    <x v="3"/>
    <x v="1"/>
    <x v="1"/>
    <n v="969"/>
    <n v="2939"/>
    <s v="Rahul"/>
    <n v="-1970"/>
    <x v="2"/>
    <n v="2024"/>
  </r>
  <r>
    <n v="1427"/>
    <d v="2024-03-03T00:00:00"/>
    <x v="0"/>
    <x v="2"/>
    <x v="2"/>
    <n v="2358"/>
    <n v="2410"/>
    <s v="Priya"/>
    <n v="-52"/>
    <x v="2"/>
    <n v="2024"/>
  </r>
  <r>
    <n v="1428"/>
    <d v="2024-03-04T00:00:00"/>
    <x v="3"/>
    <x v="1"/>
    <x v="4"/>
    <n v="1688"/>
    <n v="2178"/>
    <s v="Sneha"/>
    <n v="-490"/>
    <x v="2"/>
    <n v="2024"/>
  </r>
  <r>
    <n v="1429"/>
    <d v="2024-03-05T00:00:00"/>
    <x v="0"/>
    <x v="1"/>
    <x v="4"/>
    <n v="784"/>
    <n v="280"/>
    <s v="Priya"/>
    <n v="504"/>
    <x v="2"/>
    <n v="2024"/>
  </r>
  <r>
    <n v="1430"/>
    <d v="2024-03-06T00:00:00"/>
    <x v="0"/>
    <x v="1"/>
    <x v="3"/>
    <n v="1470"/>
    <n v="740"/>
    <s v="Priya"/>
    <n v="730"/>
    <x v="2"/>
    <n v="2024"/>
  </r>
  <r>
    <n v="1431"/>
    <d v="2024-03-07T00:00:00"/>
    <x v="1"/>
    <x v="1"/>
    <x v="0"/>
    <n v="2038"/>
    <n v="2641"/>
    <s v="Vikas"/>
    <n v="-603"/>
    <x v="2"/>
    <n v="2024"/>
  </r>
  <r>
    <n v="1432"/>
    <d v="2024-03-08T00:00:00"/>
    <x v="1"/>
    <x v="0"/>
    <x v="2"/>
    <n v="2969"/>
    <n v="2093"/>
    <s v="Vikas"/>
    <n v="876"/>
    <x v="2"/>
    <n v="2024"/>
  </r>
  <r>
    <n v="1433"/>
    <d v="2024-03-09T00:00:00"/>
    <x v="1"/>
    <x v="2"/>
    <x v="5"/>
    <n v="2258"/>
    <n v="208"/>
    <s v="Rahul"/>
    <n v="2050"/>
    <x v="2"/>
    <n v="2024"/>
  </r>
  <r>
    <n v="1434"/>
    <d v="2024-03-10T00:00:00"/>
    <x v="0"/>
    <x v="2"/>
    <x v="5"/>
    <n v="4549"/>
    <n v="345"/>
    <s v="Rahul"/>
    <n v="4204"/>
    <x v="2"/>
    <n v="2024"/>
  </r>
  <r>
    <n v="1435"/>
    <d v="2024-03-11T00:00:00"/>
    <x v="0"/>
    <x v="0"/>
    <x v="2"/>
    <n v="2039"/>
    <n v="1976"/>
    <s v="Priya"/>
    <n v="63"/>
    <x v="2"/>
    <n v="2024"/>
  </r>
  <r>
    <n v="1436"/>
    <d v="2024-03-12T00:00:00"/>
    <x v="1"/>
    <x v="2"/>
    <x v="1"/>
    <n v="611"/>
    <n v="436"/>
    <s v="Vikas"/>
    <n v="175"/>
    <x v="2"/>
    <n v="2024"/>
  </r>
  <r>
    <n v="1437"/>
    <d v="2024-03-13T00:00:00"/>
    <x v="2"/>
    <x v="0"/>
    <x v="2"/>
    <n v="2279"/>
    <n v="1444"/>
    <s v="Vikas"/>
    <n v="835"/>
    <x v="2"/>
    <n v="2024"/>
  </r>
  <r>
    <n v="1438"/>
    <d v="2024-03-14T00:00:00"/>
    <x v="1"/>
    <x v="2"/>
    <x v="2"/>
    <n v="2481"/>
    <n v="1889"/>
    <s v="Priya"/>
    <n v="592"/>
    <x v="2"/>
    <n v="2024"/>
  </r>
  <r>
    <n v="1439"/>
    <d v="2024-03-15T00:00:00"/>
    <x v="3"/>
    <x v="2"/>
    <x v="5"/>
    <n v="3038"/>
    <n v="3622"/>
    <s v="Vikas"/>
    <n v="-584"/>
    <x v="2"/>
    <n v="2024"/>
  </r>
  <r>
    <n v="1440"/>
    <d v="2024-03-16T00:00:00"/>
    <x v="1"/>
    <x v="1"/>
    <x v="0"/>
    <n v="4624"/>
    <n v="3395"/>
    <s v="Amit"/>
    <n v="1229"/>
    <x v="2"/>
    <n v="2024"/>
  </r>
  <r>
    <n v="1441"/>
    <d v="2024-03-17T00:00:00"/>
    <x v="0"/>
    <x v="0"/>
    <x v="5"/>
    <n v="2327"/>
    <n v="301"/>
    <s v="Sneha"/>
    <n v="2026"/>
    <x v="2"/>
    <n v="2024"/>
  </r>
  <r>
    <n v="1442"/>
    <d v="2024-03-18T00:00:00"/>
    <x v="1"/>
    <x v="0"/>
    <x v="0"/>
    <n v="809"/>
    <n v="1923"/>
    <s v="Amit"/>
    <n v="-1114"/>
    <x v="2"/>
    <n v="2024"/>
  </r>
  <r>
    <n v="1443"/>
    <d v="2024-03-19T00:00:00"/>
    <x v="0"/>
    <x v="2"/>
    <x v="0"/>
    <n v="4366"/>
    <n v="1603"/>
    <s v="Amit"/>
    <n v="2763"/>
    <x v="2"/>
    <n v="2024"/>
  </r>
  <r>
    <n v="1444"/>
    <d v="2024-03-20T00:00:00"/>
    <x v="1"/>
    <x v="0"/>
    <x v="3"/>
    <n v="3941"/>
    <n v="1217"/>
    <s v="Amit"/>
    <n v="2724"/>
    <x v="2"/>
    <n v="2024"/>
  </r>
  <r>
    <n v="1445"/>
    <d v="2024-03-21T00:00:00"/>
    <x v="1"/>
    <x v="1"/>
    <x v="5"/>
    <n v="4386"/>
    <n v="1283"/>
    <s v="Vikas"/>
    <n v="3103"/>
    <x v="2"/>
    <n v="2024"/>
  </r>
  <r>
    <n v="1446"/>
    <d v="2024-03-22T00:00:00"/>
    <x v="2"/>
    <x v="2"/>
    <x v="4"/>
    <n v="4793"/>
    <n v="1410"/>
    <s v="Priya"/>
    <n v="3383"/>
    <x v="2"/>
    <n v="2024"/>
  </r>
  <r>
    <n v="1447"/>
    <d v="2024-03-23T00:00:00"/>
    <x v="3"/>
    <x v="2"/>
    <x v="2"/>
    <n v="627"/>
    <n v="3546"/>
    <s v="Rahul"/>
    <n v="-2919"/>
    <x v="2"/>
    <n v="2024"/>
  </r>
  <r>
    <n v="1448"/>
    <d v="2024-03-24T00:00:00"/>
    <x v="2"/>
    <x v="1"/>
    <x v="1"/>
    <n v="671"/>
    <n v="2772"/>
    <s v="Sneha"/>
    <n v="-2101"/>
    <x v="2"/>
    <n v="2024"/>
  </r>
  <r>
    <n v="1449"/>
    <d v="2024-03-25T00:00:00"/>
    <x v="0"/>
    <x v="0"/>
    <x v="4"/>
    <n v="1607"/>
    <n v="3145"/>
    <s v="Sneha"/>
    <n v="-1538"/>
    <x v="2"/>
    <n v="2024"/>
  </r>
  <r>
    <n v="1450"/>
    <d v="2024-03-26T00:00:00"/>
    <x v="0"/>
    <x v="0"/>
    <x v="5"/>
    <n v="4658"/>
    <n v="1507"/>
    <s v="Amit"/>
    <n v="3151"/>
    <x v="2"/>
    <n v="2024"/>
  </r>
  <r>
    <n v="1451"/>
    <d v="2024-03-27T00:00:00"/>
    <x v="1"/>
    <x v="2"/>
    <x v="5"/>
    <n v="3774"/>
    <n v="722"/>
    <s v="Rahul"/>
    <n v="3052"/>
    <x v="2"/>
    <n v="2024"/>
  </r>
  <r>
    <n v="1452"/>
    <d v="2024-03-28T00:00:00"/>
    <x v="0"/>
    <x v="2"/>
    <x v="4"/>
    <n v="1743"/>
    <n v="2187"/>
    <s v="Priya"/>
    <n v="-444"/>
    <x v="2"/>
    <n v="2024"/>
  </r>
  <r>
    <n v="1453"/>
    <d v="2024-03-29T00:00:00"/>
    <x v="1"/>
    <x v="1"/>
    <x v="3"/>
    <n v="3412"/>
    <n v="2181"/>
    <s v="Rahul"/>
    <n v="1231"/>
    <x v="2"/>
    <n v="2024"/>
  </r>
  <r>
    <n v="1454"/>
    <d v="2024-03-30T00:00:00"/>
    <x v="0"/>
    <x v="0"/>
    <x v="5"/>
    <n v="4762"/>
    <n v="984"/>
    <s v="Rahul"/>
    <n v="3778"/>
    <x v="2"/>
    <n v="2024"/>
  </r>
  <r>
    <n v="1455"/>
    <d v="2024-03-31T00:00:00"/>
    <x v="0"/>
    <x v="0"/>
    <x v="3"/>
    <n v="4327"/>
    <n v="3555"/>
    <s v="Sneha"/>
    <n v="772"/>
    <x v="2"/>
    <n v="2024"/>
  </r>
  <r>
    <n v="1456"/>
    <d v="2024-04-01T00:00:00"/>
    <x v="2"/>
    <x v="0"/>
    <x v="2"/>
    <n v="3954"/>
    <n v="2884"/>
    <s v="Vikas"/>
    <n v="1070"/>
    <x v="3"/>
    <n v="2024"/>
  </r>
  <r>
    <n v="1457"/>
    <d v="2024-04-02T00:00:00"/>
    <x v="0"/>
    <x v="1"/>
    <x v="2"/>
    <n v="4309"/>
    <n v="2760"/>
    <s v="Amit"/>
    <n v="1549"/>
    <x v="3"/>
    <n v="2024"/>
  </r>
  <r>
    <n v="1458"/>
    <d v="2024-04-03T00:00:00"/>
    <x v="3"/>
    <x v="1"/>
    <x v="1"/>
    <n v="4401"/>
    <n v="2255"/>
    <s v="Vikas"/>
    <n v="2146"/>
    <x v="3"/>
    <n v="2024"/>
  </r>
  <r>
    <n v="1459"/>
    <d v="2024-04-04T00:00:00"/>
    <x v="3"/>
    <x v="2"/>
    <x v="5"/>
    <n v="4381"/>
    <n v="2913"/>
    <s v="Sneha"/>
    <n v="1468"/>
    <x v="3"/>
    <n v="2024"/>
  </r>
  <r>
    <n v="1460"/>
    <d v="2024-04-05T00:00:00"/>
    <x v="3"/>
    <x v="2"/>
    <x v="4"/>
    <n v="2903"/>
    <n v="2315"/>
    <s v="Rahul"/>
    <n v="588"/>
    <x v="3"/>
    <n v="2024"/>
  </r>
  <r>
    <n v="1461"/>
    <d v="2024-04-06T00:00:00"/>
    <x v="0"/>
    <x v="2"/>
    <x v="3"/>
    <n v="2798"/>
    <n v="2051"/>
    <s v="Amit"/>
    <n v="747"/>
    <x v="3"/>
    <n v="2024"/>
  </r>
  <r>
    <n v="1462"/>
    <d v="2024-04-07T00:00:00"/>
    <x v="0"/>
    <x v="2"/>
    <x v="1"/>
    <n v="3292"/>
    <n v="2620"/>
    <s v="Priya"/>
    <n v="672"/>
    <x v="3"/>
    <n v="2024"/>
  </r>
  <r>
    <n v="1463"/>
    <d v="2024-04-08T00:00:00"/>
    <x v="3"/>
    <x v="0"/>
    <x v="0"/>
    <n v="779"/>
    <n v="711"/>
    <s v="Priya"/>
    <n v="68"/>
    <x v="3"/>
    <n v="2024"/>
  </r>
  <r>
    <n v="1464"/>
    <d v="2024-04-09T00:00:00"/>
    <x v="0"/>
    <x v="0"/>
    <x v="1"/>
    <n v="1646"/>
    <n v="2668"/>
    <s v="Rahul"/>
    <n v="-1022"/>
    <x v="3"/>
    <n v="2024"/>
  </r>
  <r>
    <n v="1465"/>
    <d v="2024-04-10T00:00:00"/>
    <x v="3"/>
    <x v="0"/>
    <x v="3"/>
    <n v="4412"/>
    <n v="2676"/>
    <s v="Vikas"/>
    <n v="1736"/>
    <x v="3"/>
    <n v="2024"/>
  </r>
  <r>
    <n v="1466"/>
    <d v="2024-04-11T00:00:00"/>
    <x v="1"/>
    <x v="0"/>
    <x v="5"/>
    <n v="4125"/>
    <n v="3997"/>
    <s v="Vikas"/>
    <n v="128"/>
    <x v="3"/>
    <n v="2024"/>
  </r>
  <r>
    <n v="1467"/>
    <d v="2024-04-12T00:00:00"/>
    <x v="3"/>
    <x v="1"/>
    <x v="5"/>
    <n v="3809"/>
    <n v="2873"/>
    <s v="Amit"/>
    <n v="936"/>
    <x v="3"/>
    <n v="2024"/>
  </r>
  <r>
    <n v="1468"/>
    <d v="2024-04-13T00:00:00"/>
    <x v="1"/>
    <x v="1"/>
    <x v="0"/>
    <n v="1315"/>
    <n v="1982"/>
    <s v="Sneha"/>
    <n v="-667"/>
    <x v="3"/>
    <n v="2024"/>
  </r>
  <r>
    <n v="1469"/>
    <d v="2024-04-14T00:00:00"/>
    <x v="1"/>
    <x v="0"/>
    <x v="3"/>
    <n v="2179"/>
    <n v="2759"/>
    <s v="Vikas"/>
    <n v="-580"/>
    <x v="3"/>
    <n v="2024"/>
  </r>
  <r>
    <n v="1470"/>
    <d v="2024-04-15T00:00:00"/>
    <x v="0"/>
    <x v="2"/>
    <x v="5"/>
    <n v="3154"/>
    <n v="3472"/>
    <s v="Priya"/>
    <n v="-318"/>
    <x v="3"/>
    <n v="2024"/>
  </r>
  <r>
    <n v="1471"/>
    <d v="2024-04-16T00:00:00"/>
    <x v="2"/>
    <x v="0"/>
    <x v="5"/>
    <n v="2521"/>
    <n v="2871"/>
    <s v="Priya"/>
    <n v="-350"/>
    <x v="3"/>
    <n v="2024"/>
  </r>
  <r>
    <n v="1472"/>
    <d v="2024-04-17T00:00:00"/>
    <x v="2"/>
    <x v="2"/>
    <x v="3"/>
    <n v="1310"/>
    <n v="3438"/>
    <s v="Priya"/>
    <n v="-2128"/>
    <x v="3"/>
    <n v="2024"/>
  </r>
  <r>
    <n v="1473"/>
    <d v="2024-04-18T00:00:00"/>
    <x v="2"/>
    <x v="1"/>
    <x v="1"/>
    <n v="1012"/>
    <n v="2162"/>
    <s v="Vikas"/>
    <n v="-1150"/>
    <x v="3"/>
    <n v="2024"/>
  </r>
  <r>
    <n v="1474"/>
    <d v="2024-04-19T00:00:00"/>
    <x v="0"/>
    <x v="1"/>
    <x v="2"/>
    <n v="3450"/>
    <n v="3241"/>
    <s v="Rahul"/>
    <n v="209"/>
    <x v="3"/>
    <n v="2024"/>
  </r>
  <r>
    <n v="1475"/>
    <d v="2024-04-20T00:00:00"/>
    <x v="0"/>
    <x v="2"/>
    <x v="4"/>
    <n v="3639"/>
    <n v="3948"/>
    <s v="Vikas"/>
    <n v="-309"/>
    <x v="3"/>
    <n v="2024"/>
  </r>
  <r>
    <n v="1476"/>
    <d v="2024-04-21T00:00:00"/>
    <x v="1"/>
    <x v="0"/>
    <x v="1"/>
    <n v="4883"/>
    <n v="2316"/>
    <s v="Vikas"/>
    <n v="2567"/>
    <x v="3"/>
    <n v="2024"/>
  </r>
  <r>
    <n v="1477"/>
    <d v="2024-04-22T00:00:00"/>
    <x v="1"/>
    <x v="0"/>
    <x v="3"/>
    <n v="3345"/>
    <n v="291"/>
    <s v="Amit"/>
    <n v="3054"/>
    <x v="3"/>
    <n v="2024"/>
  </r>
  <r>
    <n v="1478"/>
    <d v="2024-04-23T00:00:00"/>
    <x v="2"/>
    <x v="2"/>
    <x v="2"/>
    <n v="2487"/>
    <n v="981"/>
    <s v="Sneha"/>
    <n v="1506"/>
    <x v="3"/>
    <n v="2024"/>
  </r>
  <r>
    <n v="1479"/>
    <d v="2024-04-24T00:00:00"/>
    <x v="1"/>
    <x v="0"/>
    <x v="1"/>
    <n v="4593"/>
    <n v="3925"/>
    <s v="Vikas"/>
    <n v="668"/>
    <x v="3"/>
    <n v="2024"/>
  </r>
  <r>
    <n v="1480"/>
    <d v="2024-04-25T00:00:00"/>
    <x v="0"/>
    <x v="0"/>
    <x v="5"/>
    <n v="1786"/>
    <n v="3185"/>
    <s v="Vikas"/>
    <n v="-1399"/>
    <x v="3"/>
    <n v="2024"/>
  </r>
  <r>
    <n v="1481"/>
    <d v="2024-04-26T00:00:00"/>
    <x v="1"/>
    <x v="1"/>
    <x v="2"/>
    <n v="4829"/>
    <n v="528"/>
    <s v="Sneha"/>
    <n v="4301"/>
    <x v="3"/>
    <n v="2024"/>
  </r>
  <r>
    <n v="1482"/>
    <d v="2024-04-27T00:00:00"/>
    <x v="0"/>
    <x v="2"/>
    <x v="2"/>
    <n v="4057"/>
    <n v="2894"/>
    <s v="Priya"/>
    <n v="1163"/>
    <x v="3"/>
    <n v="2024"/>
  </r>
  <r>
    <n v="1483"/>
    <d v="2024-04-28T00:00:00"/>
    <x v="2"/>
    <x v="0"/>
    <x v="3"/>
    <n v="4863"/>
    <n v="1574"/>
    <s v="Sneha"/>
    <n v="3289"/>
    <x v="3"/>
    <n v="2024"/>
  </r>
  <r>
    <n v="1484"/>
    <d v="2024-04-29T00:00:00"/>
    <x v="3"/>
    <x v="1"/>
    <x v="5"/>
    <n v="3909"/>
    <n v="1364"/>
    <s v="Vikas"/>
    <n v="2545"/>
    <x v="3"/>
    <n v="2024"/>
  </r>
  <r>
    <n v="1485"/>
    <d v="2024-04-30T00:00:00"/>
    <x v="3"/>
    <x v="0"/>
    <x v="5"/>
    <n v="3371"/>
    <n v="810"/>
    <s v="Rahul"/>
    <n v="2561"/>
    <x v="3"/>
    <n v="2024"/>
  </r>
  <r>
    <n v="1486"/>
    <d v="2024-05-01T00:00:00"/>
    <x v="0"/>
    <x v="0"/>
    <x v="5"/>
    <n v="1823"/>
    <n v="2123"/>
    <s v="Amit"/>
    <n v="-300"/>
    <x v="4"/>
    <n v="2024"/>
  </r>
  <r>
    <n v="1487"/>
    <d v="2024-05-02T00:00:00"/>
    <x v="3"/>
    <x v="2"/>
    <x v="2"/>
    <n v="1011"/>
    <n v="2480"/>
    <s v="Amit"/>
    <n v="-1469"/>
    <x v="4"/>
    <n v="2024"/>
  </r>
  <r>
    <n v="1488"/>
    <d v="2024-05-03T00:00:00"/>
    <x v="2"/>
    <x v="0"/>
    <x v="1"/>
    <n v="3179"/>
    <n v="3800"/>
    <s v="Sneha"/>
    <n v="-621"/>
    <x v="4"/>
    <n v="2024"/>
  </r>
  <r>
    <n v="1489"/>
    <d v="2024-05-04T00:00:00"/>
    <x v="1"/>
    <x v="1"/>
    <x v="4"/>
    <n v="4866"/>
    <n v="2509"/>
    <s v="Sneha"/>
    <n v="2357"/>
    <x v="4"/>
    <n v="2024"/>
  </r>
  <r>
    <n v="1490"/>
    <d v="2024-05-05T00:00:00"/>
    <x v="1"/>
    <x v="0"/>
    <x v="0"/>
    <n v="770"/>
    <n v="3824"/>
    <s v="Priya"/>
    <n v="-3054"/>
    <x v="4"/>
    <n v="2024"/>
  </r>
  <r>
    <n v="1491"/>
    <d v="2024-05-06T00:00:00"/>
    <x v="1"/>
    <x v="2"/>
    <x v="4"/>
    <n v="2628"/>
    <n v="1663"/>
    <s v="Amit"/>
    <n v="965"/>
    <x v="4"/>
    <n v="2024"/>
  </r>
  <r>
    <n v="1492"/>
    <d v="2024-05-07T00:00:00"/>
    <x v="2"/>
    <x v="0"/>
    <x v="0"/>
    <n v="947"/>
    <n v="3173"/>
    <s v="Sneha"/>
    <n v="-2226"/>
    <x v="4"/>
    <n v="2024"/>
  </r>
  <r>
    <n v="1493"/>
    <d v="2024-05-08T00:00:00"/>
    <x v="3"/>
    <x v="0"/>
    <x v="3"/>
    <n v="4969"/>
    <n v="1917"/>
    <s v="Vikas"/>
    <n v="3052"/>
    <x v="4"/>
    <n v="2024"/>
  </r>
  <r>
    <n v="1494"/>
    <d v="2024-05-09T00:00:00"/>
    <x v="2"/>
    <x v="2"/>
    <x v="4"/>
    <n v="543"/>
    <n v="478"/>
    <s v="Vikas"/>
    <n v="65"/>
    <x v="4"/>
    <n v="2024"/>
  </r>
  <r>
    <n v="1495"/>
    <d v="2024-05-10T00:00:00"/>
    <x v="3"/>
    <x v="0"/>
    <x v="2"/>
    <n v="4299"/>
    <n v="557"/>
    <s v="Rahul"/>
    <n v="3742"/>
    <x v="4"/>
    <n v="2024"/>
  </r>
  <r>
    <n v="1496"/>
    <d v="2024-05-11T00:00:00"/>
    <x v="1"/>
    <x v="0"/>
    <x v="0"/>
    <n v="3083"/>
    <n v="2783"/>
    <s v="Rahul"/>
    <n v="300"/>
    <x v="4"/>
    <n v="2024"/>
  </r>
  <r>
    <n v="1497"/>
    <d v="2024-05-12T00:00:00"/>
    <x v="3"/>
    <x v="2"/>
    <x v="5"/>
    <n v="3860"/>
    <n v="451"/>
    <s v="Sneha"/>
    <n v="3409"/>
    <x v="4"/>
    <n v="2024"/>
  </r>
  <r>
    <n v="1498"/>
    <d v="2024-05-13T00:00:00"/>
    <x v="2"/>
    <x v="0"/>
    <x v="3"/>
    <n v="3381"/>
    <n v="1132"/>
    <s v="Priya"/>
    <n v="2249"/>
    <x v="4"/>
    <n v="2024"/>
  </r>
  <r>
    <n v="1499"/>
    <d v="2024-05-14T00:00:00"/>
    <x v="3"/>
    <x v="1"/>
    <x v="4"/>
    <n v="3337"/>
    <n v="387"/>
    <s v="Priya"/>
    <n v="2950"/>
    <x v="4"/>
    <n v="202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8">
  <location ref="C3:D8" firstHeaderRow="1" firstDataRow="1" firstDataCol="1"/>
  <pivotFields count="11">
    <pivotField showAll="0"/>
    <pivotField numFmtId="14" showAll="0"/>
    <pivotField axis="axisRow" showAll="0">
      <items count="5">
        <item x="3"/>
        <item x="0"/>
        <item x="2"/>
        <item x="1"/>
        <item t="default"/>
      </items>
    </pivotField>
    <pivotField showAll="0">
      <items count="4">
        <item x="2"/>
        <item x="1"/>
        <item x="0"/>
        <item t="default"/>
      </items>
    </pivotField>
    <pivotField showAll="0"/>
    <pivotField dataField="1" showAll="0"/>
    <pivotField showAll="0"/>
    <pivotField showAll="0"/>
    <pivotField numFmtId="2" showAll="0"/>
    <pivotField showAll="0"/>
    <pivotField showAll="0"/>
  </pivotFields>
  <rowFields count="1">
    <field x="2"/>
  </rowFields>
  <rowItems count="5">
    <i>
      <x/>
    </i>
    <i>
      <x v="1"/>
    </i>
    <i>
      <x v="2"/>
    </i>
    <i>
      <x v="3"/>
    </i>
    <i t="grand">
      <x/>
    </i>
  </rowItems>
  <colItems count="1">
    <i/>
  </colItems>
  <dataFields count="1">
    <dataField name="Sum of Sales" fld="5" baseField="0" baseItem="0"/>
  </dataFields>
  <chartFormats count="1">
    <chartFormat chart="3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2">
  <location ref="B3:C7" firstHeaderRow="1" firstDataRow="1" firstDataCol="1"/>
  <pivotFields count="11">
    <pivotField showAll="0"/>
    <pivotField numFmtId="14" showAll="0"/>
    <pivotField showAll="0">
      <items count="5">
        <item x="3"/>
        <item x="0"/>
        <item x="2"/>
        <item x="1"/>
        <item t="default"/>
      </items>
    </pivotField>
    <pivotField axis="axisRow" showAll="0">
      <items count="4">
        <item x="2"/>
        <item x="1"/>
        <item x="0"/>
        <item t="default"/>
      </items>
    </pivotField>
    <pivotField showAll="0"/>
    <pivotField dataField="1" showAll="0"/>
    <pivotField showAll="0"/>
    <pivotField showAll="0"/>
    <pivotField numFmtId="2" showAll="0"/>
    <pivotField showAll="0"/>
    <pivotField showAll="0"/>
  </pivotFields>
  <rowFields count="1">
    <field x="3"/>
  </rowFields>
  <rowItems count="4">
    <i>
      <x/>
    </i>
    <i>
      <x v="1"/>
    </i>
    <i>
      <x v="2"/>
    </i>
    <i t="grand">
      <x/>
    </i>
  </rowItems>
  <colItems count="1">
    <i/>
  </colItems>
  <dataFields count="1">
    <dataField name="Sum of Sales" fld="5" baseField="0" baseItem="0"/>
  </dataFields>
  <chartFormats count="1">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2">
  <location ref="A1:B14" firstHeaderRow="1" firstDataRow="1" firstDataCol="1"/>
  <pivotFields count="11">
    <pivotField showAll="0"/>
    <pivotField numFmtId="14" showAll="0"/>
    <pivotField showAll="0">
      <items count="5">
        <item x="3"/>
        <item x="0"/>
        <item x="2"/>
        <item x="1"/>
        <item t="default"/>
      </items>
    </pivotField>
    <pivotField showAll="0">
      <items count="4">
        <item x="2"/>
        <item x="1"/>
        <item x="0"/>
        <item t="default"/>
      </items>
    </pivotField>
    <pivotField showAll="0"/>
    <pivotField dataField="1" showAll="0"/>
    <pivotField showAll="0"/>
    <pivotField showAll="0"/>
    <pivotField numFmtId="2" showAll="0"/>
    <pivotField axis="axisRow" showAll="0">
      <items count="13">
        <item x="0"/>
        <item x="1"/>
        <item x="2"/>
        <item x="3"/>
        <item x="4"/>
        <item x="5"/>
        <item x="6"/>
        <item x="7"/>
        <item x="8"/>
        <item x="9"/>
        <item x="10"/>
        <item x="11"/>
        <item t="default"/>
      </items>
    </pivotField>
    <pivotField showAll="0"/>
  </pivotFields>
  <rowFields count="1">
    <field x="9"/>
  </rowFields>
  <rowItems count="13">
    <i>
      <x/>
    </i>
    <i>
      <x v="1"/>
    </i>
    <i>
      <x v="2"/>
    </i>
    <i>
      <x v="3"/>
    </i>
    <i>
      <x v="4"/>
    </i>
    <i>
      <x v="5"/>
    </i>
    <i>
      <x v="6"/>
    </i>
    <i>
      <x v="7"/>
    </i>
    <i>
      <x v="8"/>
    </i>
    <i>
      <x v="9"/>
    </i>
    <i>
      <x v="10"/>
    </i>
    <i>
      <x v="11"/>
    </i>
    <i t="grand">
      <x/>
    </i>
  </rowItems>
  <colItems count="1">
    <i/>
  </colItems>
  <dataFields count="1">
    <dataField name="Sum of Sales" fld="5" baseField="0" baseItem="0"/>
  </dataFields>
  <chartFormats count="1">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7">
  <location ref="A1:B7" firstHeaderRow="1" firstDataRow="1" firstDataCol="1"/>
  <pivotFields count="11">
    <pivotField showAll="0"/>
    <pivotField numFmtId="14" showAll="0"/>
    <pivotField showAll="0">
      <items count="5">
        <item x="3"/>
        <item x="0"/>
        <item x="2"/>
        <item x="1"/>
        <item t="default"/>
      </items>
    </pivotField>
    <pivotField showAll="0">
      <items count="4">
        <item x="2"/>
        <item x="1"/>
        <item x="0"/>
        <item t="default"/>
      </items>
    </pivotField>
    <pivotField axis="axisRow" showAll="0" measureFilter="1" sortType="descending">
      <items count="7">
        <item x="5"/>
        <item x="3"/>
        <item x="2"/>
        <item x="0"/>
        <item x="4"/>
        <item x="1"/>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numFmtId="2" showAll="0"/>
    <pivotField showAll="0">
      <items count="13">
        <item x="0"/>
        <item x="1"/>
        <item x="2"/>
        <item x="3"/>
        <item x="4"/>
        <item x="5"/>
        <item x="6"/>
        <item x="7"/>
        <item x="8"/>
        <item x="9"/>
        <item x="10"/>
        <item x="11"/>
        <item t="default"/>
      </items>
    </pivotField>
    <pivotField showAll="0"/>
  </pivotFields>
  <rowFields count="1">
    <field x="4"/>
  </rowFields>
  <rowItems count="6">
    <i>
      <x v="2"/>
    </i>
    <i>
      <x v="4"/>
    </i>
    <i>
      <x v="5"/>
    </i>
    <i>
      <x v="3"/>
    </i>
    <i>
      <x/>
    </i>
    <i t="grand">
      <x/>
    </i>
  </rowItems>
  <colItems count="1">
    <i/>
  </colItems>
  <dataFields count="1">
    <dataField name="Sum of Sales" fld="5" baseField="0" baseItem="0"/>
  </dataFields>
  <chartFormats count="6">
    <chartFormat chart="11" format="7" series="1">
      <pivotArea type="data" outline="0" fieldPosition="0">
        <references count="1">
          <reference field="4294967294" count="1" selected="0">
            <x v="0"/>
          </reference>
        </references>
      </pivotArea>
    </chartFormat>
    <chartFormat chart="11" format="8">
      <pivotArea type="data" outline="0" fieldPosition="0">
        <references count="2">
          <reference field="4294967294" count="1" selected="0">
            <x v="0"/>
          </reference>
          <reference field="4" count="1" selected="0">
            <x v="2"/>
          </reference>
        </references>
      </pivotArea>
    </chartFormat>
    <chartFormat chart="11" format="9">
      <pivotArea type="data" outline="0" fieldPosition="0">
        <references count="2">
          <reference field="4294967294" count="1" selected="0">
            <x v="0"/>
          </reference>
          <reference field="4" count="1" selected="0">
            <x v="4"/>
          </reference>
        </references>
      </pivotArea>
    </chartFormat>
    <chartFormat chart="11" format="10">
      <pivotArea type="data" outline="0" fieldPosition="0">
        <references count="2">
          <reference field="4294967294" count="1" selected="0">
            <x v="0"/>
          </reference>
          <reference field="4" count="1" selected="0">
            <x v="5"/>
          </reference>
        </references>
      </pivotArea>
    </chartFormat>
    <chartFormat chart="11" format="11">
      <pivotArea type="data" outline="0" fieldPosition="0">
        <references count="2">
          <reference field="4294967294" count="1" selected="0">
            <x v="0"/>
          </reference>
          <reference field="4" count="1" selected="0">
            <x v="3"/>
          </reference>
        </references>
      </pivotArea>
    </chartFormat>
    <chartFormat chart="11" format="12">
      <pivotArea type="data" outline="0" fieldPosition="0">
        <references count="2">
          <reference field="4294967294" count="1" selected="0">
            <x v="0"/>
          </reference>
          <reference field="4" count="1" selected="0">
            <x v="0"/>
          </reference>
        </references>
      </pivotArea>
    </chartFormat>
  </chartFormats>
  <pivotTableStyleInfo name="PivotStyleLight16" showRowHeaders="1" showColHeaders="1" showRowStripes="0" showColStripes="0" showLastColumn="1"/>
  <filters count="1">
    <filter fld="4"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2" name="PivotTable1"/>
    <pivotTable tabId="5" name="PivotTable3"/>
    <pivotTable tabId="4" name="PivotTable2"/>
    <pivotTable tabId="6" name="PivotTable4"/>
  </pivotTables>
  <data>
    <tabular pivotCacheId="1">
      <items count="4">
        <i x="3" s="1"/>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2" name="PivotTable1"/>
    <pivotTable tabId="5" name="PivotTable3"/>
    <pivotTable tabId="4" name="PivotTable2"/>
    <pivotTable tabId="6" name="PivotTable4"/>
  </pivotTables>
  <data>
    <tabular pivotCacheId="1">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1" cache="Slicer_Region" caption="Region" startItem="1" rowHeight="234950"/>
  <slicer name="Category" cache="Slicer_Category" caption="Category" rowHeight="234950"/>
</slicers>
</file>

<file path=xl/tables/table1.xml><?xml version="1.0" encoding="utf-8"?>
<table xmlns="http://schemas.openxmlformats.org/spreadsheetml/2006/main" id="1" name="orders" displayName="orders" ref="A1:K501" totalsRowShown="0">
  <autoFilter ref="A1:K501"/>
  <tableColumns count="11">
    <tableColumn id="1" name="Order_ID"/>
    <tableColumn id="2" name="Order_Date" dataDxfId="3"/>
    <tableColumn id="3" name="Region"/>
    <tableColumn id="4" name="Category"/>
    <tableColumn id="5" name="Product_Name"/>
    <tableColumn id="6" name="Sales"/>
    <tableColumn id="7" name="Cost"/>
    <tableColumn id="8" name="Customer_Name"/>
    <tableColumn id="9" name="Profit" dataDxfId="2"/>
    <tableColumn id="10" name="Month" dataDxfId="1">
      <calculatedColumnFormula>TEXT(orders[[#All],[Order_Date]],"mmm")</calculatedColumnFormula>
    </tableColumn>
    <tableColumn id="11" name="Year" dataDxfId="0">
      <calculatedColumnFormula>YEAR(orders[[#This Row],[Order_Date]])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Metropolitan">
  <a:themeElements>
    <a:clrScheme name="Metropolitan">
      <a:dk1>
        <a:sysClr val="windowText" lastClr="000000"/>
      </a:dk1>
      <a:lt1>
        <a:sysClr val="window" lastClr="FFFFFF"/>
      </a:lt1>
      <a:dk2>
        <a:srgbClr val="162F33"/>
      </a:dk2>
      <a:lt2>
        <a:srgbClr val="EAF0E0"/>
      </a:lt2>
      <a:accent1>
        <a:srgbClr val="50B4C8"/>
      </a:accent1>
      <a:accent2>
        <a:srgbClr val="A8B97F"/>
      </a:accent2>
      <a:accent3>
        <a:srgbClr val="9B9256"/>
      </a:accent3>
      <a:accent4>
        <a:srgbClr val="657689"/>
      </a:accent4>
      <a:accent5>
        <a:srgbClr val="7A855D"/>
      </a:accent5>
      <a:accent6>
        <a:srgbClr val="84AC9D"/>
      </a:accent6>
      <a:hlink>
        <a:srgbClr val="2370CD"/>
      </a:hlink>
      <a:folHlink>
        <a:srgbClr val="877589"/>
      </a:folHlink>
    </a:clrScheme>
    <a:fontScheme name="Metropolitan">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inorFont>
    </a:fontScheme>
    <a:fmtScheme name="Metropolitan">
      <a:fillStyleLst>
        <a:solidFill>
          <a:schemeClr val="phClr"/>
        </a:solidFill>
        <a:gradFill rotWithShape="1">
          <a:gsLst>
            <a:gs pos="0">
              <a:schemeClr val="phClr">
                <a:tint val="70000"/>
                <a:satMod val="100000"/>
                <a:lumMod val="110000"/>
              </a:schemeClr>
            </a:gs>
            <a:gs pos="50000">
              <a:schemeClr val="phClr">
                <a:tint val="75000"/>
                <a:satMod val="101000"/>
                <a:lumMod val="105000"/>
              </a:schemeClr>
            </a:gs>
            <a:gs pos="100000">
              <a:schemeClr val="phClr">
                <a:tint val="82000"/>
                <a:satMod val="104000"/>
                <a:lumMod val="105000"/>
              </a:schemeClr>
            </a:gs>
          </a:gsLst>
          <a:lin ang="2700000" scaled="0"/>
        </a:gradFill>
        <a:gradFill rotWithShape="1">
          <a:gsLst>
            <a:gs pos="0">
              <a:schemeClr val="phClr">
                <a:tint val="97000"/>
                <a:satMod val="100000"/>
                <a:lumMod val="102000"/>
              </a:schemeClr>
            </a:gs>
            <a:gs pos="50000">
              <a:schemeClr val="phClr">
                <a:shade val="100000"/>
                <a:satMod val="100000"/>
                <a:lumMod val="100000"/>
              </a:schemeClr>
            </a:gs>
            <a:gs pos="100000">
              <a:schemeClr val="phClr">
                <a:shade val="80000"/>
                <a:satMod val="100000"/>
                <a:lumMod val="99000"/>
              </a:schemeClr>
            </a:gs>
          </a:gsLst>
          <a:lin ang="2700000" scaled="0"/>
        </a:gradFill>
      </a:fillStyleLst>
      <a:lnStyleLst>
        <a:ln w="9525"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solidFill>
          <a:schemeClr val="phClr">
            <a:shade val="95000"/>
            <a:satMod val="170000"/>
          </a:schemeClr>
        </a:solidFill>
      </a:bgFillStyleLst>
    </a:fmtScheme>
  </a:themeElements>
  <a:objectDefaults/>
  <a:extraClrSchemeLst/>
  <a:extLst>
    <a:ext uri="{05A4C25C-085E-4340-85A3-A5531E510DB2}">
      <thm15:themeFamily xmlns:thm15="http://schemas.microsoft.com/office/thememl/2012/main" name="Metropolitan" id="{4C5440D6-04D2-4954-96CF-F251137069B2}" vid="{79CFCA13-9412-4290-BB4B-85112F88857B}"/>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01"/>
  <sheetViews>
    <sheetView topLeftCell="A473" workbookViewId="0">
      <selection activeCell="F2" sqref="F2"/>
    </sheetView>
  </sheetViews>
  <sheetFormatPr defaultRowHeight="14.4" x14ac:dyDescent="0.3"/>
  <cols>
    <col min="1" max="1" width="10.5546875" customWidth="1"/>
    <col min="2" max="2" width="12.5546875" customWidth="1"/>
    <col min="3" max="3" width="8.6640625" customWidth="1"/>
    <col min="4" max="4" width="13.109375" customWidth="1"/>
    <col min="5" max="5" width="15.5546875" customWidth="1"/>
    <col min="6" max="6" width="7.109375" customWidth="1"/>
    <col min="7" max="7" width="6.5546875" customWidth="1"/>
    <col min="8" max="8" width="17.109375" customWidth="1"/>
    <col min="9" max="9" width="8.21875" customWidth="1"/>
  </cols>
  <sheetData>
    <row r="1" spans="1:11" x14ac:dyDescent="0.3">
      <c r="A1" s="2" t="s">
        <v>0</v>
      </c>
      <c r="B1" s="3" t="s">
        <v>1</v>
      </c>
      <c r="C1" t="s">
        <v>2</v>
      </c>
      <c r="D1" t="s">
        <v>3</v>
      </c>
      <c r="E1" t="s">
        <v>4</v>
      </c>
      <c r="F1" s="2" t="s">
        <v>5</v>
      </c>
      <c r="G1" s="2" t="s">
        <v>6</v>
      </c>
      <c r="H1" t="s">
        <v>7</v>
      </c>
      <c r="I1" s="2" t="s">
        <v>8</v>
      </c>
      <c r="J1" t="s">
        <v>27</v>
      </c>
      <c r="K1" s="2" t="s">
        <v>28</v>
      </c>
    </row>
    <row r="2" spans="1:11" x14ac:dyDescent="0.3">
      <c r="A2">
        <v>1000</v>
      </c>
      <c r="B2" s="1">
        <v>44927</v>
      </c>
      <c r="C2" t="s">
        <v>9</v>
      </c>
      <c r="D2" t="s">
        <v>10</v>
      </c>
      <c r="E2" t="s">
        <v>11</v>
      </c>
      <c r="F2">
        <v>4677</v>
      </c>
      <c r="G2">
        <v>641</v>
      </c>
      <c r="H2" t="s">
        <v>12</v>
      </c>
      <c r="I2" s="2">
        <v>4036</v>
      </c>
      <c r="J2" t="str">
        <f>TEXT(orders[[#All],[Order_Date]],"mmm")</f>
        <v>Jan</v>
      </c>
      <c r="K2">
        <f>YEAR(orders[[#This Row],[Order_Date]])</f>
        <v>2023</v>
      </c>
    </row>
    <row r="3" spans="1:11" x14ac:dyDescent="0.3">
      <c r="A3">
        <v>1001</v>
      </c>
      <c r="B3" s="1">
        <v>44928</v>
      </c>
      <c r="C3" t="s">
        <v>13</v>
      </c>
      <c r="D3" t="s">
        <v>10</v>
      </c>
      <c r="E3" t="s">
        <v>11</v>
      </c>
      <c r="F3">
        <v>3488</v>
      </c>
      <c r="G3">
        <v>2828</v>
      </c>
      <c r="H3" t="s">
        <v>14</v>
      </c>
      <c r="I3" s="2">
        <v>660</v>
      </c>
      <c r="J3" t="str">
        <f>TEXT(orders[[#All],[Order_Date]],"mmm")</f>
        <v>Jan</v>
      </c>
      <c r="K3">
        <f>YEAR(orders[[#This Row],[Order_Date]])</f>
        <v>2023</v>
      </c>
    </row>
    <row r="4" spans="1:11" x14ac:dyDescent="0.3">
      <c r="A4">
        <v>1002</v>
      </c>
      <c r="B4" s="1">
        <v>44929</v>
      </c>
      <c r="C4" t="s">
        <v>15</v>
      </c>
      <c r="D4" t="s">
        <v>16</v>
      </c>
      <c r="E4" t="s">
        <v>17</v>
      </c>
      <c r="F4">
        <v>2586</v>
      </c>
      <c r="G4">
        <v>1200</v>
      </c>
      <c r="H4" t="s">
        <v>18</v>
      </c>
      <c r="I4" s="2">
        <v>1386</v>
      </c>
      <c r="J4" t="str">
        <f>TEXT(orders[[#All],[Order_Date]],"mmm")</f>
        <v>Jan</v>
      </c>
      <c r="K4">
        <f>YEAR(orders[[#This Row],[Order_Date]])</f>
        <v>2023</v>
      </c>
    </row>
    <row r="5" spans="1:11" x14ac:dyDescent="0.3">
      <c r="A5">
        <v>1003</v>
      </c>
      <c r="B5" s="1">
        <v>44930</v>
      </c>
      <c r="C5" t="s">
        <v>9</v>
      </c>
      <c r="D5" t="s">
        <v>19</v>
      </c>
      <c r="E5" t="s">
        <v>20</v>
      </c>
      <c r="F5">
        <v>862</v>
      </c>
      <c r="G5">
        <v>992</v>
      </c>
      <c r="H5" t="s">
        <v>21</v>
      </c>
      <c r="I5" s="2">
        <v>-130</v>
      </c>
      <c r="J5" t="str">
        <f>TEXT(orders[[#All],[Order_Date]],"mmm")</f>
        <v>Jan</v>
      </c>
      <c r="K5">
        <f>YEAR(orders[[#This Row],[Order_Date]])</f>
        <v>2023</v>
      </c>
    </row>
    <row r="6" spans="1:11" x14ac:dyDescent="0.3">
      <c r="A6">
        <v>1004</v>
      </c>
      <c r="B6" s="1">
        <v>44931</v>
      </c>
      <c r="C6" t="s">
        <v>13</v>
      </c>
      <c r="D6" t="s">
        <v>19</v>
      </c>
      <c r="E6" t="s">
        <v>17</v>
      </c>
      <c r="F6">
        <v>2403</v>
      </c>
      <c r="G6">
        <v>2590</v>
      </c>
      <c r="H6" t="s">
        <v>14</v>
      </c>
      <c r="I6" s="2">
        <v>-187</v>
      </c>
      <c r="J6" t="str">
        <f>TEXT(orders[[#All],[Order_Date]],"mmm")</f>
        <v>Jan</v>
      </c>
      <c r="K6">
        <f>YEAR(orders[[#This Row],[Order_Date]])</f>
        <v>2023</v>
      </c>
    </row>
    <row r="7" spans="1:11" x14ac:dyDescent="0.3">
      <c r="A7">
        <v>1005</v>
      </c>
      <c r="B7" s="1">
        <v>44932</v>
      </c>
      <c r="C7" t="s">
        <v>13</v>
      </c>
      <c r="D7" t="s">
        <v>16</v>
      </c>
      <c r="E7" t="s">
        <v>17</v>
      </c>
      <c r="F7">
        <v>4367</v>
      </c>
      <c r="G7">
        <v>2521</v>
      </c>
      <c r="H7" t="s">
        <v>14</v>
      </c>
      <c r="I7" s="2">
        <v>1846</v>
      </c>
      <c r="J7" t="str">
        <f>TEXT(orders[[#All],[Order_Date]],"mmm")</f>
        <v>Jan</v>
      </c>
      <c r="K7">
        <f>YEAR(orders[[#This Row],[Order_Date]])</f>
        <v>2023</v>
      </c>
    </row>
    <row r="8" spans="1:11" x14ac:dyDescent="0.3">
      <c r="A8">
        <v>1006</v>
      </c>
      <c r="B8" s="1">
        <v>44933</v>
      </c>
      <c r="C8" t="s">
        <v>13</v>
      </c>
      <c r="D8" t="s">
        <v>16</v>
      </c>
      <c r="E8" t="s">
        <v>22</v>
      </c>
      <c r="F8">
        <v>1959</v>
      </c>
      <c r="G8">
        <v>3746</v>
      </c>
      <c r="H8" t="s">
        <v>12</v>
      </c>
      <c r="I8" s="2">
        <v>-1787</v>
      </c>
      <c r="J8" t="str">
        <f>TEXT(orders[[#All],[Order_Date]],"mmm")</f>
        <v>Jan</v>
      </c>
      <c r="K8">
        <f>YEAR(orders[[#This Row],[Order_Date]])</f>
        <v>2023</v>
      </c>
    </row>
    <row r="9" spans="1:11" x14ac:dyDescent="0.3">
      <c r="A9">
        <v>1007</v>
      </c>
      <c r="B9" s="1">
        <v>44934</v>
      </c>
      <c r="C9" t="s">
        <v>13</v>
      </c>
      <c r="D9" t="s">
        <v>19</v>
      </c>
      <c r="E9" t="s">
        <v>17</v>
      </c>
      <c r="F9">
        <v>2954</v>
      </c>
      <c r="G9">
        <v>3920</v>
      </c>
      <c r="H9" t="s">
        <v>21</v>
      </c>
      <c r="I9" s="2">
        <v>-966</v>
      </c>
      <c r="J9" t="str">
        <f>TEXT(orders[[#All],[Order_Date]],"mmm")</f>
        <v>Jan</v>
      </c>
      <c r="K9">
        <f>YEAR(orders[[#This Row],[Order_Date]])</f>
        <v>2023</v>
      </c>
    </row>
    <row r="10" spans="1:11" x14ac:dyDescent="0.3">
      <c r="A10">
        <v>1008</v>
      </c>
      <c r="B10" s="1">
        <v>44935</v>
      </c>
      <c r="C10" t="s">
        <v>15</v>
      </c>
      <c r="D10" t="s">
        <v>10</v>
      </c>
      <c r="E10" t="s">
        <v>22</v>
      </c>
      <c r="F10">
        <v>3225</v>
      </c>
      <c r="G10">
        <v>3021</v>
      </c>
      <c r="H10" t="s">
        <v>18</v>
      </c>
      <c r="I10" s="2">
        <v>204</v>
      </c>
      <c r="J10" t="str">
        <f>TEXT(orders[[#All],[Order_Date]],"mmm")</f>
        <v>Jan</v>
      </c>
      <c r="K10">
        <f>YEAR(orders[[#This Row],[Order_Date]])</f>
        <v>2023</v>
      </c>
    </row>
    <row r="11" spans="1:11" x14ac:dyDescent="0.3">
      <c r="A11">
        <v>1009</v>
      </c>
      <c r="B11" s="1">
        <v>44936</v>
      </c>
      <c r="C11" t="s">
        <v>13</v>
      </c>
      <c r="D11" t="s">
        <v>16</v>
      </c>
      <c r="E11" t="s">
        <v>11</v>
      </c>
      <c r="F11">
        <v>1042</v>
      </c>
      <c r="G11">
        <v>1449</v>
      </c>
      <c r="H11" t="s">
        <v>18</v>
      </c>
      <c r="I11" s="2">
        <v>-407</v>
      </c>
      <c r="J11" t="str">
        <f>TEXT(orders[[#All],[Order_Date]],"mmm")</f>
        <v>Jan</v>
      </c>
      <c r="K11">
        <f>YEAR(orders[[#This Row],[Order_Date]])</f>
        <v>2023</v>
      </c>
    </row>
    <row r="12" spans="1:11" x14ac:dyDescent="0.3">
      <c r="A12">
        <v>1010</v>
      </c>
      <c r="B12" s="1">
        <v>44937</v>
      </c>
      <c r="C12" t="s">
        <v>15</v>
      </c>
      <c r="D12" t="s">
        <v>10</v>
      </c>
      <c r="E12" t="s">
        <v>22</v>
      </c>
      <c r="F12">
        <v>2299</v>
      </c>
      <c r="G12">
        <v>542</v>
      </c>
      <c r="H12" t="s">
        <v>18</v>
      </c>
      <c r="I12" s="2">
        <v>1757</v>
      </c>
      <c r="J12" t="str">
        <f>TEXT(orders[[#All],[Order_Date]],"mmm")</f>
        <v>Jan</v>
      </c>
      <c r="K12">
        <f>YEAR(orders[[#This Row],[Order_Date]])</f>
        <v>2023</v>
      </c>
    </row>
    <row r="13" spans="1:11" x14ac:dyDescent="0.3">
      <c r="A13">
        <v>1011</v>
      </c>
      <c r="B13" s="1">
        <v>44938</v>
      </c>
      <c r="C13" t="s">
        <v>23</v>
      </c>
      <c r="D13" t="s">
        <v>16</v>
      </c>
      <c r="E13" t="s">
        <v>24</v>
      </c>
      <c r="F13">
        <v>739</v>
      </c>
      <c r="G13">
        <v>450</v>
      </c>
      <c r="H13" t="s">
        <v>12</v>
      </c>
      <c r="I13" s="2">
        <v>289</v>
      </c>
      <c r="J13" t="str">
        <f>TEXT(orders[[#All],[Order_Date]],"mmm")</f>
        <v>Jan</v>
      </c>
      <c r="K13">
        <f>YEAR(orders[[#This Row],[Order_Date]])</f>
        <v>2023</v>
      </c>
    </row>
    <row r="14" spans="1:11" x14ac:dyDescent="0.3">
      <c r="A14">
        <v>1012</v>
      </c>
      <c r="B14" s="1">
        <v>44939</v>
      </c>
      <c r="C14" t="s">
        <v>9</v>
      </c>
      <c r="D14" t="s">
        <v>10</v>
      </c>
      <c r="E14" t="s">
        <v>20</v>
      </c>
      <c r="F14">
        <v>2942</v>
      </c>
      <c r="G14">
        <v>3866</v>
      </c>
      <c r="H14" t="s">
        <v>21</v>
      </c>
      <c r="I14" s="2">
        <v>-924</v>
      </c>
      <c r="J14" t="str">
        <f>TEXT(orders[[#All],[Order_Date]],"mmm")</f>
        <v>Jan</v>
      </c>
      <c r="K14">
        <f>YEAR(orders[[#This Row],[Order_Date]])</f>
        <v>2023</v>
      </c>
    </row>
    <row r="15" spans="1:11" x14ac:dyDescent="0.3">
      <c r="A15">
        <v>1013</v>
      </c>
      <c r="B15" s="1">
        <v>44940</v>
      </c>
      <c r="C15" t="s">
        <v>13</v>
      </c>
      <c r="D15" t="s">
        <v>16</v>
      </c>
      <c r="E15" t="s">
        <v>25</v>
      </c>
      <c r="F15">
        <v>3393</v>
      </c>
      <c r="G15">
        <v>2002</v>
      </c>
      <c r="H15" t="s">
        <v>21</v>
      </c>
      <c r="I15" s="2">
        <v>1391</v>
      </c>
      <c r="J15" t="str">
        <f>TEXT(orders[[#All],[Order_Date]],"mmm")</f>
        <v>Jan</v>
      </c>
      <c r="K15">
        <f>YEAR(orders[[#This Row],[Order_Date]])</f>
        <v>2023</v>
      </c>
    </row>
    <row r="16" spans="1:11" x14ac:dyDescent="0.3">
      <c r="A16">
        <v>1014</v>
      </c>
      <c r="B16" s="1">
        <v>44941</v>
      </c>
      <c r="C16" t="s">
        <v>23</v>
      </c>
      <c r="D16" t="s">
        <v>19</v>
      </c>
      <c r="E16" t="s">
        <v>11</v>
      </c>
      <c r="F16">
        <v>2438</v>
      </c>
      <c r="G16">
        <v>2822</v>
      </c>
      <c r="H16" t="s">
        <v>14</v>
      </c>
      <c r="I16" s="2">
        <v>-384</v>
      </c>
      <c r="J16" t="str">
        <f>TEXT(orders[[#All],[Order_Date]],"mmm")</f>
        <v>Jan</v>
      </c>
      <c r="K16">
        <f>YEAR(orders[[#This Row],[Order_Date]])</f>
        <v>2023</v>
      </c>
    </row>
    <row r="17" spans="1:11" x14ac:dyDescent="0.3">
      <c r="A17">
        <v>1015</v>
      </c>
      <c r="B17" s="1">
        <v>44942</v>
      </c>
      <c r="C17" t="s">
        <v>9</v>
      </c>
      <c r="D17" t="s">
        <v>16</v>
      </c>
      <c r="E17" t="s">
        <v>24</v>
      </c>
      <c r="F17">
        <v>560</v>
      </c>
      <c r="G17">
        <v>1765</v>
      </c>
      <c r="H17" t="s">
        <v>26</v>
      </c>
      <c r="I17" s="2">
        <v>-1205</v>
      </c>
      <c r="J17" t="str">
        <f>TEXT(orders[[#All],[Order_Date]],"mmm")</f>
        <v>Jan</v>
      </c>
      <c r="K17">
        <f>YEAR(orders[[#This Row],[Order_Date]])</f>
        <v>2023</v>
      </c>
    </row>
    <row r="18" spans="1:11" x14ac:dyDescent="0.3">
      <c r="A18">
        <v>1016</v>
      </c>
      <c r="B18" s="1">
        <v>44943</v>
      </c>
      <c r="C18" t="s">
        <v>9</v>
      </c>
      <c r="D18" t="s">
        <v>19</v>
      </c>
      <c r="E18" t="s">
        <v>25</v>
      </c>
      <c r="F18">
        <v>524</v>
      </c>
      <c r="G18">
        <v>339</v>
      </c>
      <c r="H18" t="s">
        <v>21</v>
      </c>
      <c r="I18" s="2">
        <v>185</v>
      </c>
      <c r="J18" t="str">
        <f>TEXT(orders[[#All],[Order_Date]],"mmm")</f>
        <v>Jan</v>
      </c>
      <c r="K18">
        <f>YEAR(orders[[#This Row],[Order_Date]])</f>
        <v>2023</v>
      </c>
    </row>
    <row r="19" spans="1:11" x14ac:dyDescent="0.3">
      <c r="A19">
        <v>1017</v>
      </c>
      <c r="B19" s="1">
        <v>44944</v>
      </c>
      <c r="C19" t="s">
        <v>9</v>
      </c>
      <c r="D19" t="s">
        <v>10</v>
      </c>
      <c r="E19" t="s">
        <v>24</v>
      </c>
      <c r="F19">
        <v>4756</v>
      </c>
      <c r="G19">
        <v>2406</v>
      </c>
      <c r="H19" t="s">
        <v>18</v>
      </c>
      <c r="I19" s="2">
        <v>2350</v>
      </c>
      <c r="J19" t="str">
        <f>TEXT(orders[[#All],[Order_Date]],"mmm")</f>
        <v>Jan</v>
      </c>
      <c r="K19">
        <f>YEAR(orders[[#This Row],[Order_Date]])</f>
        <v>2023</v>
      </c>
    </row>
    <row r="20" spans="1:11" x14ac:dyDescent="0.3">
      <c r="A20">
        <v>1018</v>
      </c>
      <c r="B20" s="1">
        <v>44945</v>
      </c>
      <c r="C20" t="s">
        <v>23</v>
      </c>
      <c r="D20" t="s">
        <v>19</v>
      </c>
      <c r="E20" t="s">
        <v>25</v>
      </c>
      <c r="F20">
        <v>3936</v>
      </c>
      <c r="G20">
        <v>527</v>
      </c>
      <c r="H20" t="s">
        <v>18</v>
      </c>
      <c r="I20" s="2">
        <v>3409</v>
      </c>
      <c r="J20" t="str">
        <f>TEXT(orders[[#All],[Order_Date]],"mmm")</f>
        <v>Jan</v>
      </c>
      <c r="K20">
        <f>YEAR(orders[[#This Row],[Order_Date]])</f>
        <v>2023</v>
      </c>
    </row>
    <row r="21" spans="1:11" x14ac:dyDescent="0.3">
      <c r="A21">
        <v>1019</v>
      </c>
      <c r="B21" s="1">
        <v>44946</v>
      </c>
      <c r="C21" t="s">
        <v>15</v>
      </c>
      <c r="D21" t="s">
        <v>19</v>
      </c>
      <c r="E21" t="s">
        <v>25</v>
      </c>
      <c r="F21">
        <v>867</v>
      </c>
      <c r="G21">
        <v>3842</v>
      </c>
      <c r="H21" t="s">
        <v>26</v>
      </c>
      <c r="I21" s="2">
        <v>-2975</v>
      </c>
      <c r="J21" t="str">
        <f>TEXT(orders[[#All],[Order_Date]],"mmm")</f>
        <v>Jan</v>
      </c>
      <c r="K21">
        <f>YEAR(orders[[#This Row],[Order_Date]])</f>
        <v>2023</v>
      </c>
    </row>
    <row r="22" spans="1:11" x14ac:dyDescent="0.3">
      <c r="A22">
        <v>1020</v>
      </c>
      <c r="B22" s="1">
        <v>44947</v>
      </c>
      <c r="C22" t="s">
        <v>23</v>
      </c>
      <c r="D22" t="s">
        <v>16</v>
      </c>
      <c r="E22" t="s">
        <v>17</v>
      </c>
      <c r="F22">
        <v>4712</v>
      </c>
      <c r="G22">
        <v>1190</v>
      </c>
      <c r="H22" t="s">
        <v>26</v>
      </c>
      <c r="I22" s="2">
        <v>3522</v>
      </c>
      <c r="J22" t="str">
        <f>TEXT(orders[[#All],[Order_Date]],"mmm")</f>
        <v>Jan</v>
      </c>
      <c r="K22">
        <f>YEAR(orders[[#This Row],[Order_Date]])</f>
        <v>2023</v>
      </c>
    </row>
    <row r="23" spans="1:11" x14ac:dyDescent="0.3">
      <c r="A23">
        <v>1021</v>
      </c>
      <c r="B23" s="1">
        <v>44948</v>
      </c>
      <c r="C23" t="s">
        <v>13</v>
      </c>
      <c r="D23" t="s">
        <v>16</v>
      </c>
      <c r="E23" t="s">
        <v>24</v>
      </c>
      <c r="F23">
        <v>2520</v>
      </c>
      <c r="G23">
        <v>2290</v>
      </c>
      <c r="H23" t="s">
        <v>14</v>
      </c>
      <c r="I23" s="2">
        <v>230</v>
      </c>
      <c r="J23" t="str">
        <f>TEXT(orders[[#All],[Order_Date]],"mmm")</f>
        <v>Jan</v>
      </c>
      <c r="K23">
        <f>YEAR(orders[[#This Row],[Order_Date]])</f>
        <v>2023</v>
      </c>
    </row>
    <row r="24" spans="1:11" x14ac:dyDescent="0.3">
      <c r="A24">
        <v>1022</v>
      </c>
      <c r="B24" s="1">
        <v>44949</v>
      </c>
      <c r="C24" t="s">
        <v>13</v>
      </c>
      <c r="D24" t="s">
        <v>10</v>
      </c>
      <c r="E24" t="s">
        <v>20</v>
      </c>
      <c r="F24">
        <v>4612</v>
      </c>
      <c r="G24">
        <v>2575</v>
      </c>
      <c r="H24" t="s">
        <v>14</v>
      </c>
      <c r="I24" s="2">
        <v>2037</v>
      </c>
      <c r="J24" t="str">
        <f>TEXT(orders[[#All],[Order_Date]],"mmm")</f>
        <v>Jan</v>
      </c>
      <c r="K24">
        <f>YEAR(orders[[#This Row],[Order_Date]])</f>
        <v>2023</v>
      </c>
    </row>
    <row r="25" spans="1:11" x14ac:dyDescent="0.3">
      <c r="A25">
        <v>1023</v>
      </c>
      <c r="B25" s="1">
        <v>44950</v>
      </c>
      <c r="C25" t="s">
        <v>23</v>
      </c>
      <c r="D25" t="s">
        <v>19</v>
      </c>
      <c r="E25" t="s">
        <v>24</v>
      </c>
      <c r="F25">
        <v>4572</v>
      </c>
      <c r="G25">
        <v>865</v>
      </c>
      <c r="H25" t="s">
        <v>12</v>
      </c>
      <c r="I25" s="2">
        <v>3707</v>
      </c>
      <c r="J25" t="str">
        <f>TEXT(orders[[#All],[Order_Date]],"mmm")</f>
        <v>Jan</v>
      </c>
      <c r="K25">
        <f>YEAR(orders[[#This Row],[Order_Date]])</f>
        <v>2023</v>
      </c>
    </row>
    <row r="26" spans="1:11" x14ac:dyDescent="0.3">
      <c r="A26">
        <v>1024</v>
      </c>
      <c r="B26" s="1">
        <v>44951</v>
      </c>
      <c r="C26" t="s">
        <v>9</v>
      </c>
      <c r="D26" t="s">
        <v>10</v>
      </c>
      <c r="E26" t="s">
        <v>11</v>
      </c>
      <c r="F26">
        <v>2756</v>
      </c>
      <c r="G26">
        <v>692</v>
      </c>
      <c r="H26" t="s">
        <v>18</v>
      </c>
      <c r="I26" s="2">
        <v>2064</v>
      </c>
      <c r="J26" t="str">
        <f>TEXT(orders[[#All],[Order_Date]],"mmm")</f>
        <v>Jan</v>
      </c>
      <c r="K26">
        <f>YEAR(orders[[#This Row],[Order_Date]])</f>
        <v>2023</v>
      </c>
    </row>
    <row r="27" spans="1:11" x14ac:dyDescent="0.3">
      <c r="A27">
        <v>1025</v>
      </c>
      <c r="B27" s="1">
        <v>44952</v>
      </c>
      <c r="C27" t="s">
        <v>15</v>
      </c>
      <c r="D27" t="s">
        <v>10</v>
      </c>
      <c r="E27" t="s">
        <v>20</v>
      </c>
      <c r="F27">
        <v>1314</v>
      </c>
      <c r="G27">
        <v>1022</v>
      </c>
      <c r="H27" t="s">
        <v>12</v>
      </c>
      <c r="I27" s="2">
        <v>292</v>
      </c>
      <c r="J27" t="str">
        <f>TEXT(orders[[#All],[Order_Date]],"mmm")</f>
        <v>Jan</v>
      </c>
      <c r="K27">
        <f>YEAR(orders[[#This Row],[Order_Date]])</f>
        <v>2023</v>
      </c>
    </row>
    <row r="28" spans="1:11" x14ac:dyDescent="0.3">
      <c r="A28">
        <v>1026</v>
      </c>
      <c r="B28" s="1">
        <v>44953</v>
      </c>
      <c r="C28" t="s">
        <v>15</v>
      </c>
      <c r="D28" t="s">
        <v>10</v>
      </c>
      <c r="E28" t="s">
        <v>22</v>
      </c>
      <c r="F28">
        <v>3154</v>
      </c>
      <c r="G28">
        <v>1342</v>
      </c>
      <c r="H28" t="s">
        <v>18</v>
      </c>
      <c r="I28" s="2">
        <v>1812</v>
      </c>
      <c r="J28" t="str">
        <f>TEXT(orders[[#All],[Order_Date]],"mmm")</f>
        <v>Jan</v>
      </c>
      <c r="K28">
        <f>YEAR(orders[[#This Row],[Order_Date]])</f>
        <v>2023</v>
      </c>
    </row>
    <row r="29" spans="1:11" x14ac:dyDescent="0.3">
      <c r="A29">
        <v>1027</v>
      </c>
      <c r="B29" s="1">
        <v>44954</v>
      </c>
      <c r="C29" t="s">
        <v>15</v>
      </c>
      <c r="D29" t="s">
        <v>16</v>
      </c>
      <c r="E29" t="s">
        <v>20</v>
      </c>
      <c r="F29">
        <v>2376</v>
      </c>
      <c r="G29">
        <v>539</v>
      </c>
      <c r="H29" t="s">
        <v>12</v>
      </c>
      <c r="I29" s="2">
        <v>1837</v>
      </c>
      <c r="J29" t="str">
        <f>TEXT(orders[[#All],[Order_Date]],"mmm")</f>
        <v>Jan</v>
      </c>
      <c r="K29">
        <f>YEAR(orders[[#This Row],[Order_Date]])</f>
        <v>2023</v>
      </c>
    </row>
    <row r="30" spans="1:11" x14ac:dyDescent="0.3">
      <c r="A30">
        <v>1028</v>
      </c>
      <c r="B30" s="1">
        <v>44955</v>
      </c>
      <c r="C30" t="s">
        <v>15</v>
      </c>
      <c r="D30" t="s">
        <v>10</v>
      </c>
      <c r="E30" t="s">
        <v>20</v>
      </c>
      <c r="F30">
        <v>4363</v>
      </c>
      <c r="G30">
        <v>2273</v>
      </c>
      <c r="H30" t="s">
        <v>14</v>
      </c>
      <c r="I30" s="2">
        <v>2090</v>
      </c>
      <c r="J30" t="str">
        <f>TEXT(orders[[#All],[Order_Date]],"mmm")</f>
        <v>Jan</v>
      </c>
      <c r="K30">
        <f>YEAR(orders[[#This Row],[Order_Date]])</f>
        <v>2023</v>
      </c>
    </row>
    <row r="31" spans="1:11" x14ac:dyDescent="0.3">
      <c r="A31">
        <v>1029</v>
      </c>
      <c r="B31" s="1">
        <v>44956</v>
      </c>
      <c r="C31" t="s">
        <v>9</v>
      </c>
      <c r="D31" t="s">
        <v>19</v>
      </c>
      <c r="E31" t="s">
        <v>20</v>
      </c>
      <c r="F31">
        <v>4227</v>
      </c>
      <c r="G31">
        <v>2421</v>
      </c>
      <c r="H31" t="s">
        <v>21</v>
      </c>
      <c r="I31" s="2">
        <v>1806</v>
      </c>
      <c r="J31" t="str">
        <f>TEXT(orders[[#All],[Order_Date]],"mmm")</f>
        <v>Jan</v>
      </c>
      <c r="K31">
        <f>YEAR(orders[[#This Row],[Order_Date]])</f>
        <v>2023</v>
      </c>
    </row>
    <row r="32" spans="1:11" x14ac:dyDescent="0.3">
      <c r="A32">
        <v>1030</v>
      </c>
      <c r="B32" s="1">
        <v>44957</v>
      </c>
      <c r="C32" t="s">
        <v>15</v>
      </c>
      <c r="D32" t="s">
        <v>10</v>
      </c>
      <c r="E32" t="s">
        <v>24</v>
      </c>
      <c r="F32">
        <v>4768</v>
      </c>
      <c r="G32">
        <v>1601</v>
      </c>
      <c r="H32" t="s">
        <v>26</v>
      </c>
      <c r="I32" s="2">
        <v>3167</v>
      </c>
      <c r="J32" t="str">
        <f>TEXT(orders[[#All],[Order_Date]],"mmm")</f>
        <v>Jan</v>
      </c>
      <c r="K32">
        <f>YEAR(orders[[#This Row],[Order_Date]])</f>
        <v>2023</v>
      </c>
    </row>
    <row r="33" spans="1:11" x14ac:dyDescent="0.3">
      <c r="A33">
        <v>1031</v>
      </c>
      <c r="B33" s="1">
        <v>44958</v>
      </c>
      <c r="C33" t="s">
        <v>9</v>
      </c>
      <c r="D33" t="s">
        <v>16</v>
      </c>
      <c r="E33" t="s">
        <v>24</v>
      </c>
      <c r="F33">
        <v>2091</v>
      </c>
      <c r="G33">
        <v>690</v>
      </c>
      <c r="H33" t="s">
        <v>18</v>
      </c>
      <c r="I33" s="2">
        <v>1401</v>
      </c>
      <c r="J33" t="str">
        <f>TEXT(orders[[#All],[Order_Date]],"mmm")</f>
        <v>Feb</v>
      </c>
      <c r="K33">
        <f>YEAR(orders[[#This Row],[Order_Date]])</f>
        <v>2023</v>
      </c>
    </row>
    <row r="34" spans="1:11" x14ac:dyDescent="0.3">
      <c r="A34">
        <v>1032</v>
      </c>
      <c r="B34" s="1">
        <v>44959</v>
      </c>
      <c r="C34" t="s">
        <v>13</v>
      </c>
      <c r="D34" t="s">
        <v>19</v>
      </c>
      <c r="E34" t="s">
        <v>11</v>
      </c>
      <c r="F34">
        <v>3983</v>
      </c>
      <c r="G34">
        <v>3403</v>
      </c>
      <c r="H34" t="s">
        <v>14</v>
      </c>
      <c r="I34" s="2">
        <v>580</v>
      </c>
      <c r="J34" t="str">
        <f>TEXT(orders[[#All],[Order_Date]],"mmm")</f>
        <v>Feb</v>
      </c>
      <c r="K34">
        <f>YEAR(orders[[#This Row],[Order_Date]])</f>
        <v>2023</v>
      </c>
    </row>
    <row r="35" spans="1:11" x14ac:dyDescent="0.3">
      <c r="A35">
        <v>1033</v>
      </c>
      <c r="B35" s="1">
        <v>44960</v>
      </c>
      <c r="C35" t="s">
        <v>9</v>
      </c>
      <c r="D35" t="s">
        <v>10</v>
      </c>
      <c r="E35" t="s">
        <v>11</v>
      </c>
      <c r="F35">
        <v>4299</v>
      </c>
      <c r="G35">
        <v>1084</v>
      </c>
      <c r="H35" t="s">
        <v>14</v>
      </c>
      <c r="I35" s="2">
        <v>3215</v>
      </c>
      <c r="J35" t="str">
        <f>TEXT(orders[[#All],[Order_Date]],"mmm")</f>
        <v>Feb</v>
      </c>
      <c r="K35">
        <f>YEAR(orders[[#This Row],[Order_Date]])</f>
        <v>2023</v>
      </c>
    </row>
    <row r="36" spans="1:11" x14ac:dyDescent="0.3">
      <c r="A36">
        <v>1034</v>
      </c>
      <c r="B36" s="1">
        <v>44961</v>
      </c>
      <c r="C36" t="s">
        <v>13</v>
      </c>
      <c r="D36" t="s">
        <v>19</v>
      </c>
      <c r="E36" t="s">
        <v>17</v>
      </c>
      <c r="F36">
        <v>4161</v>
      </c>
      <c r="G36">
        <v>3228</v>
      </c>
      <c r="H36" t="s">
        <v>14</v>
      </c>
      <c r="I36" s="2">
        <v>933</v>
      </c>
      <c r="J36" t="str">
        <f>TEXT(orders[[#All],[Order_Date]],"mmm")</f>
        <v>Feb</v>
      </c>
      <c r="K36">
        <f>YEAR(orders[[#This Row],[Order_Date]])</f>
        <v>2023</v>
      </c>
    </row>
    <row r="37" spans="1:11" x14ac:dyDescent="0.3">
      <c r="A37">
        <v>1035</v>
      </c>
      <c r="B37" s="1">
        <v>44962</v>
      </c>
      <c r="C37" t="s">
        <v>15</v>
      </c>
      <c r="D37" t="s">
        <v>16</v>
      </c>
      <c r="E37" t="s">
        <v>20</v>
      </c>
      <c r="F37">
        <v>932</v>
      </c>
      <c r="G37">
        <v>1051</v>
      </c>
      <c r="H37" t="s">
        <v>12</v>
      </c>
      <c r="I37" s="2">
        <v>-119</v>
      </c>
      <c r="J37" t="str">
        <f>TEXT(orders[[#All],[Order_Date]],"mmm")</f>
        <v>Feb</v>
      </c>
      <c r="K37">
        <f>YEAR(orders[[#This Row],[Order_Date]])</f>
        <v>2023</v>
      </c>
    </row>
    <row r="38" spans="1:11" x14ac:dyDescent="0.3">
      <c r="A38">
        <v>1036</v>
      </c>
      <c r="B38" s="1">
        <v>44963</v>
      </c>
      <c r="C38" t="s">
        <v>23</v>
      </c>
      <c r="D38" t="s">
        <v>10</v>
      </c>
      <c r="E38" t="s">
        <v>22</v>
      </c>
      <c r="F38">
        <v>2507</v>
      </c>
      <c r="G38">
        <v>2497</v>
      </c>
      <c r="H38" t="s">
        <v>26</v>
      </c>
      <c r="I38" s="2">
        <v>10</v>
      </c>
      <c r="J38" t="str">
        <f>TEXT(orders[[#All],[Order_Date]],"mmm")</f>
        <v>Feb</v>
      </c>
      <c r="K38">
        <f>YEAR(orders[[#This Row],[Order_Date]])</f>
        <v>2023</v>
      </c>
    </row>
    <row r="39" spans="1:11" x14ac:dyDescent="0.3">
      <c r="A39">
        <v>1037</v>
      </c>
      <c r="B39" s="1">
        <v>44964</v>
      </c>
      <c r="C39" t="s">
        <v>13</v>
      </c>
      <c r="D39" t="s">
        <v>10</v>
      </c>
      <c r="E39" t="s">
        <v>22</v>
      </c>
      <c r="F39">
        <v>3410</v>
      </c>
      <c r="G39">
        <v>2797</v>
      </c>
      <c r="H39" t="s">
        <v>14</v>
      </c>
      <c r="I39" s="2">
        <v>613</v>
      </c>
      <c r="J39" t="str">
        <f>TEXT(orders[[#All],[Order_Date]],"mmm")</f>
        <v>Feb</v>
      </c>
      <c r="K39">
        <f>YEAR(orders[[#This Row],[Order_Date]])</f>
        <v>2023</v>
      </c>
    </row>
    <row r="40" spans="1:11" x14ac:dyDescent="0.3">
      <c r="A40">
        <v>1038</v>
      </c>
      <c r="B40" s="1">
        <v>44965</v>
      </c>
      <c r="C40" t="s">
        <v>13</v>
      </c>
      <c r="D40" t="s">
        <v>10</v>
      </c>
      <c r="E40" t="s">
        <v>17</v>
      </c>
      <c r="F40">
        <v>877</v>
      </c>
      <c r="G40">
        <v>2409</v>
      </c>
      <c r="H40" t="s">
        <v>12</v>
      </c>
      <c r="I40" s="2">
        <v>-1532</v>
      </c>
      <c r="J40" t="str">
        <f>TEXT(orders[[#All],[Order_Date]],"mmm")</f>
        <v>Feb</v>
      </c>
      <c r="K40">
        <f>YEAR(orders[[#This Row],[Order_Date]])</f>
        <v>2023</v>
      </c>
    </row>
    <row r="41" spans="1:11" x14ac:dyDescent="0.3">
      <c r="A41">
        <v>1039</v>
      </c>
      <c r="B41" s="1">
        <v>44966</v>
      </c>
      <c r="C41" t="s">
        <v>9</v>
      </c>
      <c r="D41" t="s">
        <v>16</v>
      </c>
      <c r="E41" t="s">
        <v>20</v>
      </c>
      <c r="F41">
        <v>4827</v>
      </c>
      <c r="G41">
        <v>2692</v>
      </c>
      <c r="H41" t="s">
        <v>14</v>
      </c>
      <c r="I41" s="2">
        <v>2135</v>
      </c>
      <c r="J41" t="str">
        <f>TEXT(orders[[#All],[Order_Date]],"mmm")</f>
        <v>Feb</v>
      </c>
      <c r="K41">
        <f>YEAR(orders[[#This Row],[Order_Date]])</f>
        <v>2023</v>
      </c>
    </row>
    <row r="42" spans="1:11" x14ac:dyDescent="0.3">
      <c r="A42">
        <v>1040</v>
      </c>
      <c r="B42" s="1">
        <v>44967</v>
      </c>
      <c r="C42" t="s">
        <v>23</v>
      </c>
      <c r="D42" t="s">
        <v>19</v>
      </c>
      <c r="E42" t="s">
        <v>20</v>
      </c>
      <c r="F42">
        <v>1381</v>
      </c>
      <c r="G42">
        <v>1076</v>
      </c>
      <c r="H42" t="s">
        <v>12</v>
      </c>
      <c r="I42" s="2">
        <v>305</v>
      </c>
      <c r="J42" t="str">
        <f>TEXT(orders[[#All],[Order_Date]],"mmm")</f>
        <v>Feb</v>
      </c>
      <c r="K42">
        <f>YEAR(orders[[#This Row],[Order_Date]])</f>
        <v>2023</v>
      </c>
    </row>
    <row r="43" spans="1:11" x14ac:dyDescent="0.3">
      <c r="A43">
        <v>1041</v>
      </c>
      <c r="B43" s="1">
        <v>44968</v>
      </c>
      <c r="C43" t="s">
        <v>13</v>
      </c>
      <c r="D43" t="s">
        <v>10</v>
      </c>
      <c r="E43" t="s">
        <v>20</v>
      </c>
      <c r="F43">
        <v>2320</v>
      </c>
      <c r="G43">
        <v>1743</v>
      </c>
      <c r="H43" t="s">
        <v>21</v>
      </c>
      <c r="I43" s="2">
        <v>577</v>
      </c>
      <c r="J43" t="str">
        <f>TEXT(orders[[#All],[Order_Date]],"mmm")</f>
        <v>Feb</v>
      </c>
      <c r="K43">
        <f>YEAR(orders[[#This Row],[Order_Date]])</f>
        <v>2023</v>
      </c>
    </row>
    <row r="44" spans="1:11" x14ac:dyDescent="0.3">
      <c r="A44">
        <v>1042</v>
      </c>
      <c r="B44" s="1">
        <v>44969</v>
      </c>
      <c r="C44" t="s">
        <v>9</v>
      </c>
      <c r="D44" t="s">
        <v>10</v>
      </c>
      <c r="E44" t="s">
        <v>11</v>
      </c>
      <c r="F44">
        <v>3816</v>
      </c>
      <c r="G44">
        <v>3204</v>
      </c>
      <c r="H44" t="s">
        <v>12</v>
      </c>
      <c r="I44" s="2">
        <v>612</v>
      </c>
      <c r="J44" t="str">
        <f>TEXT(orders[[#All],[Order_Date]],"mmm")</f>
        <v>Feb</v>
      </c>
      <c r="K44">
        <f>YEAR(orders[[#This Row],[Order_Date]])</f>
        <v>2023</v>
      </c>
    </row>
    <row r="45" spans="1:11" x14ac:dyDescent="0.3">
      <c r="A45">
        <v>1043</v>
      </c>
      <c r="B45" s="1">
        <v>44970</v>
      </c>
      <c r="C45" t="s">
        <v>15</v>
      </c>
      <c r="D45" t="s">
        <v>10</v>
      </c>
      <c r="E45" t="s">
        <v>11</v>
      </c>
      <c r="F45">
        <v>2616</v>
      </c>
      <c r="G45">
        <v>2413</v>
      </c>
      <c r="H45" t="s">
        <v>18</v>
      </c>
      <c r="I45" s="2">
        <v>203</v>
      </c>
      <c r="J45" t="str">
        <f>TEXT(orders[[#All],[Order_Date]],"mmm")</f>
        <v>Feb</v>
      </c>
      <c r="K45">
        <f>YEAR(orders[[#This Row],[Order_Date]])</f>
        <v>2023</v>
      </c>
    </row>
    <row r="46" spans="1:11" x14ac:dyDescent="0.3">
      <c r="A46">
        <v>1044</v>
      </c>
      <c r="B46" s="1">
        <v>44971</v>
      </c>
      <c r="C46" t="s">
        <v>13</v>
      </c>
      <c r="D46" t="s">
        <v>10</v>
      </c>
      <c r="E46" t="s">
        <v>11</v>
      </c>
      <c r="F46">
        <v>3004</v>
      </c>
      <c r="G46">
        <v>3868</v>
      </c>
      <c r="H46" t="s">
        <v>26</v>
      </c>
      <c r="I46" s="2">
        <v>-864</v>
      </c>
      <c r="J46" t="str">
        <f>TEXT(orders[[#All],[Order_Date]],"mmm")</f>
        <v>Feb</v>
      </c>
      <c r="K46">
        <f>YEAR(orders[[#This Row],[Order_Date]])</f>
        <v>2023</v>
      </c>
    </row>
    <row r="47" spans="1:11" x14ac:dyDescent="0.3">
      <c r="A47">
        <v>1045</v>
      </c>
      <c r="B47" s="1">
        <v>44972</v>
      </c>
      <c r="C47" t="s">
        <v>15</v>
      </c>
      <c r="D47" t="s">
        <v>19</v>
      </c>
      <c r="E47" t="s">
        <v>24</v>
      </c>
      <c r="F47">
        <v>870</v>
      </c>
      <c r="G47">
        <v>3266</v>
      </c>
      <c r="H47" t="s">
        <v>12</v>
      </c>
      <c r="I47" s="2">
        <v>-2396</v>
      </c>
      <c r="J47" t="str">
        <f>TEXT(orders[[#All],[Order_Date]],"mmm")</f>
        <v>Feb</v>
      </c>
      <c r="K47">
        <f>YEAR(orders[[#This Row],[Order_Date]])</f>
        <v>2023</v>
      </c>
    </row>
    <row r="48" spans="1:11" x14ac:dyDescent="0.3">
      <c r="A48">
        <v>1046</v>
      </c>
      <c r="B48" s="1">
        <v>44973</v>
      </c>
      <c r="C48" t="s">
        <v>13</v>
      </c>
      <c r="D48" t="s">
        <v>16</v>
      </c>
      <c r="E48" t="s">
        <v>22</v>
      </c>
      <c r="F48">
        <v>2084</v>
      </c>
      <c r="G48">
        <v>554</v>
      </c>
      <c r="H48" t="s">
        <v>26</v>
      </c>
      <c r="I48" s="2">
        <v>1530</v>
      </c>
      <c r="J48" t="str">
        <f>TEXT(orders[[#All],[Order_Date]],"mmm")</f>
        <v>Feb</v>
      </c>
      <c r="K48">
        <f>YEAR(orders[[#This Row],[Order_Date]])</f>
        <v>2023</v>
      </c>
    </row>
    <row r="49" spans="1:11" x14ac:dyDescent="0.3">
      <c r="A49">
        <v>1047</v>
      </c>
      <c r="B49" s="1">
        <v>44974</v>
      </c>
      <c r="C49" t="s">
        <v>13</v>
      </c>
      <c r="D49" t="s">
        <v>16</v>
      </c>
      <c r="E49" t="s">
        <v>22</v>
      </c>
      <c r="F49">
        <v>2135</v>
      </c>
      <c r="G49">
        <v>2520</v>
      </c>
      <c r="H49" t="s">
        <v>12</v>
      </c>
      <c r="I49" s="2">
        <v>-385</v>
      </c>
      <c r="J49" t="str">
        <f>TEXT(orders[[#All],[Order_Date]],"mmm")</f>
        <v>Feb</v>
      </c>
      <c r="K49">
        <f>YEAR(orders[[#This Row],[Order_Date]])</f>
        <v>2023</v>
      </c>
    </row>
    <row r="50" spans="1:11" x14ac:dyDescent="0.3">
      <c r="A50">
        <v>1048</v>
      </c>
      <c r="B50" s="1">
        <v>44975</v>
      </c>
      <c r="C50" t="s">
        <v>23</v>
      </c>
      <c r="D50" t="s">
        <v>19</v>
      </c>
      <c r="E50" t="s">
        <v>25</v>
      </c>
      <c r="F50">
        <v>2619</v>
      </c>
      <c r="G50">
        <v>1909</v>
      </c>
      <c r="H50" t="s">
        <v>26</v>
      </c>
      <c r="I50" s="2">
        <v>710</v>
      </c>
      <c r="J50" t="str">
        <f>TEXT(orders[[#All],[Order_Date]],"mmm")</f>
        <v>Feb</v>
      </c>
      <c r="K50">
        <f>YEAR(orders[[#This Row],[Order_Date]])</f>
        <v>2023</v>
      </c>
    </row>
    <row r="51" spans="1:11" x14ac:dyDescent="0.3">
      <c r="A51">
        <v>1049</v>
      </c>
      <c r="B51" s="1">
        <v>44976</v>
      </c>
      <c r="C51" t="s">
        <v>13</v>
      </c>
      <c r="D51" t="s">
        <v>10</v>
      </c>
      <c r="E51" t="s">
        <v>25</v>
      </c>
      <c r="F51">
        <v>3061</v>
      </c>
      <c r="G51">
        <v>1712</v>
      </c>
      <c r="H51" t="s">
        <v>21</v>
      </c>
      <c r="I51" s="2">
        <v>1349</v>
      </c>
      <c r="J51" t="str">
        <f>TEXT(orders[[#All],[Order_Date]],"mmm")</f>
        <v>Feb</v>
      </c>
      <c r="K51">
        <f>YEAR(orders[[#This Row],[Order_Date]])</f>
        <v>2023</v>
      </c>
    </row>
    <row r="52" spans="1:11" x14ac:dyDescent="0.3">
      <c r="A52">
        <v>1050</v>
      </c>
      <c r="B52" s="1">
        <v>44977</v>
      </c>
      <c r="C52" t="s">
        <v>9</v>
      </c>
      <c r="D52" t="s">
        <v>19</v>
      </c>
      <c r="E52" t="s">
        <v>24</v>
      </c>
      <c r="F52">
        <v>629</v>
      </c>
      <c r="G52">
        <v>3439</v>
      </c>
      <c r="H52" t="s">
        <v>18</v>
      </c>
      <c r="I52" s="2">
        <v>-2810</v>
      </c>
      <c r="J52" t="str">
        <f>TEXT(orders[[#All],[Order_Date]],"mmm")</f>
        <v>Feb</v>
      </c>
      <c r="K52">
        <f>YEAR(orders[[#This Row],[Order_Date]])</f>
        <v>2023</v>
      </c>
    </row>
    <row r="53" spans="1:11" x14ac:dyDescent="0.3">
      <c r="A53">
        <v>1051</v>
      </c>
      <c r="B53" s="1">
        <v>44978</v>
      </c>
      <c r="C53" t="s">
        <v>15</v>
      </c>
      <c r="D53" t="s">
        <v>19</v>
      </c>
      <c r="E53" t="s">
        <v>24</v>
      </c>
      <c r="F53">
        <v>4795</v>
      </c>
      <c r="G53">
        <v>3817</v>
      </c>
      <c r="H53" t="s">
        <v>18</v>
      </c>
      <c r="I53" s="2">
        <v>978</v>
      </c>
      <c r="J53" t="str">
        <f>TEXT(orders[[#All],[Order_Date]],"mmm")</f>
        <v>Feb</v>
      </c>
      <c r="K53">
        <f>YEAR(orders[[#This Row],[Order_Date]])</f>
        <v>2023</v>
      </c>
    </row>
    <row r="54" spans="1:11" x14ac:dyDescent="0.3">
      <c r="A54">
        <v>1052</v>
      </c>
      <c r="B54" s="1">
        <v>44979</v>
      </c>
      <c r="C54" t="s">
        <v>15</v>
      </c>
      <c r="D54" t="s">
        <v>19</v>
      </c>
      <c r="E54" t="s">
        <v>22</v>
      </c>
      <c r="F54">
        <v>4237</v>
      </c>
      <c r="G54">
        <v>2057</v>
      </c>
      <c r="H54" t="s">
        <v>18</v>
      </c>
      <c r="I54" s="2">
        <v>2180</v>
      </c>
      <c r="J54" t="str">
        <f>TEXT(orders[[#All],[Order_Date]],"mmm")</f>
        <v>Feb</v>
      </c>
      <c r="K54">
        <f>YEAR(orders[[#This Row],[Order_Date]])</f>
        <v>2023</v>
      </c>
    </row>
    <row r="55" spans="1:11" x14ac:dyDescent="0.3">
      <c r="A55">
        <v>1053</v>
      </c>
      <c r="B55" s="1">
        <v>44980</v>
      </c>
      <c r="C55" t="s">
        <v>15</v>
      </c>
      <c r="D55" t="s">
        <v>19</v>
      </c>
      <c r="E55" t="s">
        <v>20</v>
      </c>
      <c r="F55">
        <v>1624</v>
      </c>
      <c r="G55">
        <v>2449</v>
      </c>
      <c r="H55" t="s">
        <v>12</v>
      </c>
      <c r="I55" s="2">
        <v>-825</v>
      </c>
      <c r="J55" t="str">
        <f>TEXT(orders[[#All],[Order_Date]],"mmm")</f>
        <v>Feb</v>
      </c>
      <c r="K55">
        <f>YEAR(orders[[#This Row],[Order_Date]])</f>
        <v>2023</v>
      </c>
    </row>
    <row r="56" spans="1:11" x14ac:dyDescent="0.3">
      <c r="A56">
        <v>1054</v>
      </c>
      <c r="B56" s="1">
        <v>44981</v>
      </c>
      <c r="C56" t="s">
        <v>13</v>
      </c>
      <c r="D56" t="s">
        <v>19</v>
      </c>
      <c r="E56" t="s">
        <v>25</v>
      </c>
      <c r="F56">
        <v>3137</v>
      </c>
      <c r="G56">
        <v>2335</v>
      </c>
      <c r="H56" t="s">
        <v>18</v>
      </c>
      <c r="I56" s="2">
        <v>802</v>
      </c>
      <c r="J56" t="str">
        <f>TEXT(orders[[#All],[Order_Date]],"mmm")</f>
        <v>Feb</v>
      </c>
      <c r="K56">
        <f>YEAR(orders[[#This Row],[Order_Date]])</f>
        <v>2023</v>
      </c>
    </row>
    <row r="57" spans="1:11" x14ac:dyDescent="0.3">
      <c r="A57">
        <v>1055</v>
      </c>
      <c r="B57" s="1">
        <v>44982</v>
      </c>
      <c r="C57" t="s">
        <v>9</v>
      </c>
      <c r="D57" t="s">
        <v>19</v>
      </c>
      <c r="E57" t="s">
        <v>20</v>
      </c>
      <c r="F57">
        <v>3750</v>
      </c>
      <c r="G57">
        <v>1548</v>
      </c>
      <c r="H57" t="s">
        <v>14</v>
      </c>
      <c r="I57" s="2">
        <v>2202</v>
      </c>
      <c r="J57" t="str">
        <f>TEXT(orders[[#All],[Order_Date]],"mmm")</f>
        <v>Feb</v>
      </c>
      <c r="K57">
        <f>YEAR(orders[[#This Row],[Order_Date]])</f>
        <v>2023</v>
      </c>
    </row>
    <row r="58" spans="1:11" x14ac:dyDescent="0.3">
      <c r="A58">
        <v>1056</v>
      </c>
      <c r="B58" s="1">
        <v>44983</v>
      </c>
      <c r="C58" t="s">
        <v>13</v>
      </c>
      <c r="D58" t="s">
        <v>16</v>
      </c>
      <c r="E58" t="s">
        <v>17</v>
      </c>
      <c r="F58">
        <v>1935</v>
      </c>
      <c r="G58">
        <v>2528</v>
      </c>
      <c r="H58" t="s">
        <v>14</v>
      </c>
      <c r="I58" s="2">
        <v>-593</v>
      </c>
      <c r="J58" t="str">
        <f>TEXT(orders[[#All],[Order_Date]],"mmm")</f>
        <v>Feb</v>
      </c>
      <c r="K58">
        <f>YEAR(orders[[#This Row],[Order_Date]])</f>
        <v>2023</v>
      </c>
    </row>
    <row r="59" spans="1:11" x14ac:dyDescent="0.3">
      <c r="A59">
        <v>1057</v>
      </c>
      <c r="B59" s="1">
        <v>44984</v>
      </c>
      <c r="C59" t="s">
        <v>23</v>
      </c>
      <c r="D59" t="s">
        <v>16</v>
      </c>
      <c r="E59" t="s">
        <v>11</v>
      </c>
      <c r="F59">
        <v>4692</v>
      </c>
      <c r="G59">
        <v>1230</v>
      </c>
      <c r="H59" t="s">
        <v>18</v>
      </c>
      <c r="I59" s="2">
        <v>3462</v>
      </c>
      <c r="J59" t="str">
        <f>TEXT(orders[[#All],[Order_Date]],"mmm")</f>
        <v>Feb</v>
      </c>
      <c r="K59">
        <f>YEAR(orders[[#This Row],[Order_Date]])</f>
        <v>2023</v>
      </c>
    </row>
    <row r="60" spans="1:11" x14ac:dyDescent="0.3">
      <c r="A60">
        <v>1058</v>
      </c>
      <c r="B60" s="1">
        <v>44985</v>
      </c>
      <c r="C60" t="s">
        <v>9</v>
      </c>
      <c r="D60" t="s">
        <v>19</v>
      </c>
      <c r="E60" t="s">
        <v>22</v>
      </c>
      <c r="F60">
        <v>2079</v>
      </c>
      <c r="G60">
        <v>1594</v>
      </c>
      <c r="H60" t="s">
        <v>18</v>
      </c>
      <c r="I60" s="2">
        <v>485</v>
      </c>
      <c r="J60" t="str">
        <f>TEXT(orders[[#All],[Order_Date]],"mmm")</f>
        <v>Feb</v>
      </c>
      <c r="K60">
        <f>YEAR(orders[[#This Row],[Order_Date]])</f>
        <v>2023</v>
      </c>
    </row>
    <row r="61" spans="1:11" x14ac:dyDescent="0.3">
      <c r="A61">
        <v>1059</v>
      </c>
      <c r="B61" s="1">
        <v>44986</v>
      </c>
      <c r="C61" t="s">
        <v>13</v>
      </c>
      <c r="D61" t="s">
        <v>19</v>
      </c>
      <c r="E61" t="s">
        <v>17</v>
      </c>
      <c r="F61">
        <v>4359</v>
      </c>
      <c r="G61">
        <v>967</v>
      </c>
      <c r="H61" t="s">
        <v>12</v>
      </c>
      <c r="I61" s="2">
        <v>3392</v>
      </c>
      <c r="J61" t="str">
        <f>TEXT(orders[[#All],[Order_Date]],"mmm")</f>
        <v>Mar</v>
      </c>
      <c r="K61">
        <f>YEAR(orders[[#This Row],[Order_Date]])</f>
        <v>2023</v>
      </c>
    </row>
    <row r="62" spans="1:11" x14ac:dyDescent="0.3">
      <c r="A62">
        <v>1060</v>
      </c>
      <c r="B62" s="1">
        <v>44987</v>
      </c>
      <c r="C62" t="s">
        <v>13</v>
      </c>
      <c r="D62" t="s">
        <v>19</v>
      </c>
      <c r="E62" t="s">
        <v>24</v>
      </c>
      <c r="F62">
        <v>1825</v>
      </c>
      <c r="G62">
        <v>3844</v>
      </c>
      <c r="H62" t="s">
        <v>18</v>
      </c>
      <c r="I62" s="2">
        <v>-2019</v>
      </c>
      <c r="J62" t="str">
        <f>TEXT(orders[[#All],[Order_Date]],"mmm")</f>
        <v>Mar</v>
      </c>
      <c r="K62">
        <f>YEAR(orders[[#This Row],[Order_Date]])</f>
        <v>2023</v>
      </c>
    </row>
    <row r="63" spans="1:11" x14ac:dyDescent="0.3">
      <c r="A63">
        <v>1061</v>
      </c>
      <c r="B63" s="1">
        <v>44988</v>
      </c>
      <c r="C63" t="s">
        <v>23</v>
      </c>
      <c r="D63" t="s">
        <v>16</v>
      </c>
      <c r="E63" t="s">
        <v>11</v>
      </c>
      <c r="F63">
        <v>600</v>
      </c>
      <c r="G63">
        <v>3488</v>
      </c>
      <c r="H63" t="s">
        <v>26</v>
      </c>
      <c r="I63" s="2">
        <v>-2888</v>
      </c>
      <c r="J63" t="str">
        <f>TEXT(orders[[#All],[Order_Date]],"mmm")</f>
        <v>Mar</v>
      </c>
      <c r="K63">
        <f>YEAR(orders[[#This Row],[Order_Date]])</f>
        <v>2023</v>
      </c>
    </row>
    <row r="64" spans="1:11" x14ac:dyDescent="0.3">
      <c r="A64">
        <v>1062</v>
      </c>
      <c r="B64" s="1">
        <v>44989</v>
      </c>
      <c r="C64" t="s">
        <v>13</v>
      </c>
      <c r="D64" t="s">
        <v>10</v>
      </c>
      <c r="E64" t="s">
        <v>24</v>
      </c>
      <c r="F64">
        <v>4932</v>
      </c>
      <c r="G64">
        <v>2309</v>
      </c>
      <c r="H64" t="s">
        <v>21</v>
      </c>
      <c r="I64" s="2">
        <v>2623</v>
      </c>
      <c r="J64" t="str">
        <f>TEXT(orders[[#All],[Order_Date]],"mmm")</f>
        <v>Mar</v>
      </c>
      <c r="K64">
        <f>YEAR(orders[[#This Row],[Order_Date]])</f>
        <v>2023</v>
      </c>
    </row>
    <row r="65" spans="1:11" x14ac:dyDescent="0.3">
      <c r="A65">
        <v>1063</v>
      </c>
      <c r="B65" s="1">
        <v>44990</v>
      </c>
      <c r="C65" t="s">
        <v>23</v>
      </c>
      <c r="D65" t="s">
        <v>10</v>
      </c>
      <c r="E65" t="s">
        <v>25</v>
      </c>
      <c r="F65">
        <v>4708</v>
      </c>
      <c r="G65">
        <v>3260</v>
      </c>
      <c r="H65" t="s">
        <v>12</v>
      </c>
      <c r="I65" s="2">
        <v>1448</v>
      </c>
      <c r="J65" t="str">
        <f>TEXT(orders[[#All],[Order_Date]],"mmm")</f>
        <v>Mar</v>
      </c>
      <c r="K65">
        <f>YEAR(orders[[#This Row],[Order_Date]])</f>
        <v>2023</v>
      </c>
    </row>
    <row r="66" spans="1:11" x14ac:dyDescent="0.3">
      <c r="A66">
        <v>1064</v>
      </c>
      <c r="B66" s="1">
        <v>44991</v>
      </c>
      <c r="C66" t="s">
        <v>13</v>
      </c>
      <c r="D66" t="s">
        <v>10</v>
      </c>
      <c r="E66" t="s">
        <v>20</v>
      </c>
      <c r="F66">
        <v>3806</v>
      </c>
      <c r="G66">
        <v>3459</v>
      </c>
      <c r="H66" t="s">
        <v>12</v>
      </c>
      <c r="I66" s="2">
        <v>347</v>
      </c>
      <c r="J66" t="str">
        <f>TEXT(orders[[#All],[Order_Date]],"mmm")</f>
        <v>Mar</v>
      </c>
      <c r="K66">
        <f>YEAR(orders[[#This Row],[Order_Date]])</f>
        <v>2023</v>
      </c>
    </row>
    <row r="67" spans="1:11" x14ac:dyDescent="0.3">
      <c r="A67">
        <v>1065</v>
      </c>
      <c r="B67" s="1">
        <v>44992</v>
      </c>
      <c r="C67" t="s">
        <v>9</v>
      </c>
      <c r="D67" t="s">
        <v>19</v>
      </c>
      <c r="E67" t="s">
        <v>17</v>
      </c>
      <c r="F67">
        <v>872</v>
      </c>
      <c r="G67">
        <v>3775</v>
      </c>
      <c r="H67" t="s">
        <v>14</v>
      </c>
      <c r="I67" s="2">
        <v>-2903</v>
      </c>
      <c r="J67" t="str">
        <f>TEXT(orders[[#All],[Order_Date]],"mmm")</f>
        <v>Mar</v>
      </c>
      <c r="K67">
        <f>YEAR(orders[[#This Row],[Order_Date]])</f>
        <v>2023</v>
      </c>
    </row>
    <row r="68" spans="1:11" x14ac:dyDescent="0.3">
      <c r="A68">
        <v>1066</v>
      </c>
      <c r="B68" s="1">
        <v>44993</v>
      </c>
      <c r="C68" t="s">
        <v>23</v>
      </c>
      <c r="D68" t="s">
        <v>10</v>
      </c>
      <c r="E68" t="s">
        <v>20</v>
      </c>
      <c r="F68">
        <v>4488</v>
      </c>
      <c r="G68">
        <v>3905</v>
      </c>
      <c r="H68" t="s">
        <v>12</v>
      </c>
      <c r="I68" s="2">
        <v>583</v>
      </c>
      <c r="J68" t="str">
        <f>TEXT(orders[[#All],[Order_Date]],"mmm")</f>
        <v>Mar</v>
      </c>
      <c r="K68">
        <f>YEAR(orders[[#This Row],[Order_Date]])</f>
        <v>2023</v>
      </c>
    </row>
    <row r="69" spans="1:11" x14ac:dyDescent="0.3">
      <c r="A69">
        <v>1067</v>
      </c>
      <c r="B69" s="1">
        <v>44994</v>
      </c>
      <c r="C69" t="s">
        <v>9</v>
      </c>
      <c r="D69" t="s">
        <v>19</v>
      </c>
      <c r="E69" t="s">
        <v>11</v>
      </c>
      <c r="F69">
        <v>3668</v>
      </c>
      <c r="G69">
        <v>2706</v>
      </c>
      <c r="H69" t="s">
        <v>12</v>
      </c>
      <c r="I69" s="2">
        <v>962</v>
      </c>
      <c r="J69" t="str">
        <f>TEXT(orders[[#All],[Order_Date]],"mmm")</f>
        <v>Mar</v>
      </c>
      <c r="K69">
        <f>YEAR(orders[[#This Row],[Order_Date]])</f>
        <v>2023</v>
      </c>
    </row>
    <row r="70" spans="1:11" x14ac:dyDescent="0.3">
      <c r="A70">
        <v>1068</v>
      </c>
      <c r="B70" s="1">
        <v>44995</v>
      </c>
      <c r="C70" t="s">
        <v>9</v>
      </c>
      <c r="D70" t="s">
        <v>10</v>
      </c>
      <c r="E70" t="s">
        <v>11</v>
      </c>
      <c r="F70">
        <v>2006</v>
      </c>
      <c r="G70">
        <v>997</v>
      </c>
      <c r="H70" t="s">
        <v>21</v>
      </c>
      <c r="I70" s="2">
        <v>1009</v>
      </c>
      <c r="J70" t="str">
        <f>TEXT(orders[[#All],[Order_Date]],"mmm")</f>
        <v>Mar</v>
      </c>
      <c r="K70">
        <f>YEAR(orders[[#This Row],[Order_Date]])</f>
        <v>2023</v>
      </c>
    </row>
    <row r="71" spans="1:11" x14ac:dyDescent="0.3">
      <c r="A71">
        <v>1069</v>
      </c>
      <c r="B71" s="1">
        <v>44996</v>
      </c>
      <c r="C71" t="s">
        <v>9</v>
      </c>
      <c r="D71" t="s">
        <v>16</v>
      </c>
      <c r="E71" t="s">
        <v>24</v>
      </c>
      <c r="F71">
        <v>4937</v>
      </c>
      <c r="G71">
        <v>1463</v>
      </c>
      <c r="H71" t="s">
        <v>26</v>
      </c>
      <c r="I71" s="2">
        <v>3474</v>
      </c>
      <c r="J71" t="str">
        <f>TEXT(orders[[#All],[Order_Date]],"mmm")</f>
        <v>Mar</v>
      </c>
      <c r="K71">
        <f>YEAR(orders[[#This Row],[Order_Date]])</f>
        <v>2023</v>
      </c>
    </row>
    <row r="72" spans="1:11" x14ac:dyDescent="0.3">
      <c r="A72">
        <v>1070</v>
      </c>
      <c r="B72" s="1">
        <v>44997</v>
      </c>
      <c r="C72" t="s">
        <v>15</v>
      </c>
      <c r="D72" t="s">
        <v>16</v>
      </c>
      <c r="E72" t="s">
        <v>20</v>
      </c>
      <c r="F72">
        <v>1526</v>
      </c>
      <c r="G72">
        <v>1216</v>
      </c>
      <c r="H72" t="s">
        <v>21</v>
      </c>
      <c r="I72" s="2">
        <v>310</v>
      </c>
      <c r="J72" t="str">
        <f>TEXT(orders[[#All],[Order_Date]],"mmm")</f>
        <v>Mar</v>
      </c>
      <c r="K72">
        <f>YEAR(orders[[#This Row],[Order_Date]])</f>
        <v>2023</v>
      </c>
    </row>
    <row r="73" spans="1:11" x14ac:dyDescent="0.3">
      <c r="A73">
        <v>1071</v>
      </c>
      <c r="B73" s="1">
        <v>44998</v>
      </c>
      <c r="C73" t="s">
        <v>15</v>
      </c>
      <c r="D73" t="s">
        <v>19</v>
      </c>
      <c r="E73" t="s">
        <v>22</v>
      </c>
      <c r="F73">
        <v>4027</v>
      </c>
      <c r="G73">
        <v>228</v>
      </c>
      <c r="H73" t="s">
        <v>26</v>
      </c>
      <c r="I73" s="2">
        <v>3799</v>
      </c>
      <c r="J73" t="str">
        <f>TEXT(orders[[#All],[Order_Date]],"mmm")</f>
        <v>Mar</v>
      </c>
      <c r="K73">
        <f>YEAR(orders[[#This Row],[Order_Date]])</f>
        <v>2023</v>
      </c>
    </row>
    <row r="74" spans="1:11" x14ac:dyDescent="0.3">
      <c r="A74">
        <v>1072</v>
      </c>
      <c r="B74" s="1">
        <v>44999</v>
      </c>
      <c r="C74" t="s">
        <v>23</v>
      </c>
      <c r="D74" t="s">
        <v>10</v>
      </c>
      <c r="E74" t="s">
        <v>17</v>
      </c>
      <c r="F74">
        <v>2751</v>
      </c>
      <c r="G74">
        <v>3424</v>
      </c>
      <c r="H74" t="s">
        <v>14</v>
      </c>
      <c r="I74" s="2">
        <v>-673</v>
      </c>
      <c r="J74" t="str">
        <f>TEXT(orders[[#All],[Order_Date]],"mmm")</f>
        <v>Mar</v>
      </c>
      <c r="K74">
        <f>YEAR(orders[[#This Row],[Order_Date]])</f>
        <v>2023</v>
      </c>
    </row>
    <row r="75" spans="1:11" x14ac:dyDescent="0.3">
      <c r="A75">
        <v>1073</v>
      </c>
      <c r="B75" s="1">
        <v>45000</v>
      </c>
      <c r="C75" t="s">
        <v>9</v>
      </c>
      <c r="D75" t="s">
        <v>10</v>
      </c>
      <c r="E75" t="s">
        <v>11</v>
      </c>
      <c r="F75">
        <v>743</v>
      </c>
      <c r="G75">
        <v>3659</v>
      </c>
      <c r="H75" t="s">
        <v>21</v>
      </c>
      <c r="I75" s="2">
        <v>-2916</v>
      </c>
      <c r="J75" t="str">
        <f>TEXT(orders[[#All],[Order_Date]],"mmm")</f>
        <v>Mar</v>
      </c>
      <c r="K75">
        <f>YEAR(orders[[#This Row],[Order_Date]])</f>
        <v>2023</v>
      </c>
    </row>
    <row r="76" spans="1:11" x14ac:dyDescent="0.3">
      <c r="A76">
        <v>1074</v>
      </c>
      <c r="B76" s="1">
        <v>45001</v>
      </c>
      <c r="C76" t="s">
        <v>9</v>
      </c>
      <c r="D76" t="s">
        <v>10</v>
      </c>
      <c r="E76" t="s">
        <v>11</v>
      </c>
      <c r="F76">
        <v>874</v>
      </c>
      <c r="G76">
        <v>666</v>
      </c>
      <c r="H76" t="s">
        <v>21</v>
      </c>
      <c r="I76" s="2">
        <v>208</v>
      </c>
      <c r="J76" t="str">
        <f>TEXT(orders[[#All],[Order_Date]],"mmm")</f>
        <v>Mar</v>
      </c>
      <c r="K76">
        <f>YEAR(orders[[#This Row],[Order_Date]])</f>
        <v>2023</v>
      </c>
    </row>
    <row r="77" spans="1:11" x14ac:dyDescent="0.3">
      <c r="A77">
        <v>1075</v>
      </c>
      <c r="B77" s="1">
        <v>45002</v>
      </c>
      <c r="C77" t="s">
        <v>15</v>
      </c>
      <c r="D77" t="s">
        <v>10</v>
      </c>
      <c r="E77" t="s">
        <v>20</v>
      </c>
      <c r="F77">
        <v>4661</v>
      </c>
      <c r="G77">
        <v>1885</v>
      </c>
      <c r="H77" t="s">
        <v>21</v>
      </c>
      <c r="I77" s="2">
        <v>2776</v>
      </c>
      <c r="J77" t="str">
        <f>TEXT(orders[[#All],[Order_Date]],"mmm")</f>
        <v>Mar</v>
      </c>
      <c r="K77">
        <f>YEAR(orders[[#This Row],[Order_Date]])</f>
        <v>2023</v>
      </c>
    </row>
    <row r="78" spans="1:11" x14ac:dyDescent="0.3">
      <c r="A78">
        <v>1076</v>
      </c>
      <c r="B78" s="1">
        <v>45003</v>
      </c>
      <c r="C78" t="s">
        <v>13</v>
      </c>
      <c r="D78" t="s">
        <v>10</v>
      </c>
      <c r="E78" t="s">
        <v>25</v>
      </c>
      <c r="F78">
        <v>3012</v>
      </c>
      <c r="G78">
        <v>3534</v>
      </c>
      <c r="H78" t="s">
        <v>18</v>
      </c>
      <c r="I78" s="2">
        <v>-522</v>
      </c>
      <c r="J78" t="str">
        <f>TEXT(orders[[#All],[Order_Date]],"mmm")</f>
        <v>Mar</v>
      </c>
      <c r="K78">
        <f>YEAR(orders[[#This Row],[Order_Date]])</f>
        <v>2023</v>
      </c>
    </row>
    <row r="79" spans="1:11" x14ac:dyDescent="0.3">
      <c r="A79">
        <v>1077</v>
      </c>
      <c r="B79" s="1">
        <v>45004</v>
      </c>
      <c r="C79" t="s">
        <v>9</v>
      </c>
      <c r="D79" t="s">
        <v>16</v>
      </c>
      <c r="E79" t="s">
        <v>17</v>
      </c>
      <c r="F79">
        <v>4806</v>
      </c>
      <c r="G79">
        <v>2332</v>
      </c>
      <c r="H79" t="s">
        <v>18</v>
      </c>
      <c r="I79" s="2">
        <v>2474</v>
      </c>
      <c r="J79" t="str">
        <f>TEXT(orders[[#All],[Order_Date]],"mmm")</f>
        <v>Mar</v>
      </c>
      <c r="K79">
        <f>YEAR(orders[[#This Row],[Order_Date]])</f>
        <v>2023</v>
      </c>
    </row>
    <row r="80" spans="1:11" x14ac:dyDescent="0.3">
      <c r="A80">
        <v>1078</v>
      </c>
      <c r="B80" s="1">
        <v>45005</v>
      </c>
      <c r="C80" t="s">
        <v>15</v>
      </c>
      <c r="D80" t="s">
        <v>19</v>
      </c>
      <c r="E80" t="s">
        <v>17</v>
      </c>
      <c r="F80">
        <v>3970</v>
      </c>
      <c r="G80">
        <v>1501</v>
      </c>
      <c r="H80" t="s">
        <v>21</v>
      </c>
      <c r="I80" s="2">
        <v>2469</v>
      </c>
      <c r="J80" t="str">
        <f>TEXT(orders[[#All],[Order_Date]],"mmm")</f>
        <v>Mar</v>
      </c>
      <c r="K80">
        <f>YEAR(orders[[#This Row],[Order_Date]])</f>
        <v>2023</v>
      </c>
    </row>
    <row r="81" spans="1:11" x14ac:dyDescent="0.3">
      <c r="A81">
        <v>1079</v>
      </c>
      <c r="B81" s="1">
        <v>45006</v>
      </c>
      <c r="C81" t="s">
        <v>23</v>
      </c>
      <c r="D81" t="s">
        <v>10</v>
      </c>
      <c r="E81" t="s">
        <v>11</v>
      </c>
      <c r="F81">
        <v>1301</v>
      </c>
      <c r="G81">
        <v>3903</v>
      </c>
      <c r="H81" t="s">
        <v>12</v>
      </c>
      <c r="I81" s="2">
        <v>-2602</v>
      </c>
      <c r="J81" t="str">
        <f>TEXT(orders[[#All],[Order_Date]],"mmm")</f>
        <v>Mar</v>
      </c>
      <c r="K81">
        <f>YEAR(orders[[#This Row],[Order_Date]])</f>
        <v>2023</v>
      </c>
    </row>
    <row r="82" spans="1:11" x14ac:dyDescent="0.3">
      <c r="A82">
        <v>1080</v>
      </c>
      <c r="B82" s="1">
        <v>45007</v>
      </c>
      <c r="C82" t="s">
        <v>23</v>
      </c>
      <c r="D82" t="s">
        <v>16</v>
      </c>
      <c r="E82" t="s">
        <v>20</v>
      </c>
      <c r="F82">
        <v>3292</v>
      </c>
      <c r="G82">
        <v>3555</v>
      </c>
      <c r="H82" t="s">
        <v>14</v>
      </c>
      <c r="I82" s="2">
        <v>-263</v>
      </c>
      <c r="J82" t="str">
        <f>TEXT(orders[[#All],[Order_Date]],"mmm")</f>
        <v>Mar</v>
      </c>
      <c r="K82">
        <f>YEAR(orders[[#This Row],[Order_Date]])</f>
        <v>2023</v>
      </c>
    </row>
    <row r="83" spans="1:11" x14ac:dyDescent="0.3">
      <c r="A83">
        <v>1081</v>
      </c>
      <c r="B83" s="1">
        <v>45008</v>
      </c>
      <c r="C83" t="s">
        <v>13</v>
      </c>
      <c r="D83" t="s">
        <v>10</v>
      </c>
      <c r="E83" t="s">
        <v>17</v>
      </c>
      <c r="F83">
        <v>4971</v>
      </c>
      <c r="G83">
        <v>3170</v>
      </c>
      <c r="H83" t="s">
        <v>12</v>
      </c>
      <c r="I83" s="2">
        <v>1801</v>
      </c>
      <c r="J83" t="str">
        <f>TEXT(orders[[#All],[Order_Date]],"mmm")</f>
        <v>Mar</v>
      </c>
      <c r="K83">
        <f>YEAR(orders[[#This Row],[Order_Date]])</f>
        <v>2023</v>
      </c>
    </row>
    <row r="84" spans="1:11" x14ac:dyDescent="0.3">
      <c r="A84">
        <v>1082</v>
      </c>
      <c r="B84" s="1">
        <v>45009</v>
      </c>
      <c r="C84" t="s">
        <v>9</v>
      </c>
      <c r="D84" t="s">
        <v>16</v>
      </c>
      <c r="E84" t="s">
        <v>17</v>
      </c>
      <c r="F84">
        <v>4483</v>
      </c>
      <c r="G84">
        <v>648</v>
      </c>
      <c r="H84" t="s">
        <v>14</v>
      </c>
      <c r="I84" s="2">
        <v>3835</v>
      </c>
      <c r="J84" t="str">
        <f>TEXT(orders[[#All],[Order_Date]],"mmm")</f>
        <v>Mar</v>
      </c>
      <c r="K84">
        <f>YEAR(orders[[#This Row],[Order_Date]])</f>
        <v>2023</v>
      </c>
    </row>
    <row r="85" spans="1:11" x14ac:dyDescent="0.3">
      <c r="A85">
        <v>1083</v>
      </c>
      <c r="B85" s="1">
        <v>45010</v>
      </c>
      <c r="C85" t="s">
        <v>15</v>
      </c>
      <c r="D85" t="s">
        <v>19</v>
      </c>
      <c r="E85" t="s">
        <v>11</v>
      </c>
      <c r="F85">
        <v>2528</v>
      </c>
      <c r="G85">
        <v>2614</v>
      </c>
      <c r="H85" t="s">
        <v>14</v>
      </c>
      <c r="I85" s="2">
        <v>-86</v>
      </c>
      <c r="J85" t="str">
        <f>TEXT(orders[[#All],[Order_Date]],"mmm")</f>
        <v>Mar</v>
      </c>
      <c r="K85">
        <f>YEAR(orders[[#This Row],[Order_Date]])</f>
        <v>2023</v>
      </c>
    </row>
    <row r="86" spans="1:11" x14ac:dyDescent="0.3">
      <c r="A86">
        <v>1084</v>
      </c>
      <c r="B86" s="1">
        <v>45011</v>
      </c>
      <c r="C86" t="s">
        <v>15</v>
      </c>
      <c r="D86" t="s">
        <v>10</v>
      </c>
      <c r="E86" t="s">
        <v>11</v>
      </c>
      <c r="F86">
        <v>1943</v>
      </c>
      <c r="G86">
        <v>2635</v>
      </c>
      <c r="H86" t="s">
        <v>18</v>
      </c>
      <c r="I86" s="2">
        <v>-692</v>
      </c>
      <c r="J86" t="str">
        <f>TEXT(orders[[#All],[Order_Date]],"mmm")</f>
        <v>Mar</v>
      </c>
      <c r="K86">
        <f>YEAR(orders[[#This Row],[Order_Date]])</f>
        <v>2023</v>
      </c>
    </row>
    <row r="87" spans="1:11" x14ac:dyDescent="0.3">
      <c r="A87">
        <v>1085</v>
      </c>
      <c r="B87" s="1">
        <v>45012</v>
      </c>
      <c r="C87" t="s">
        <v>13</v>
      </c>
      <c r="D87" t="s">
        <v>10</v>
      </c>
      <c r="E87" t="s">
        <v>24</v>
      </c>
      <c r="F87">
        <v>3285</v>
      </c>
      <c r="G87">
        <v>2045</v>
      </c>
      <c r="H87" t="s">
        <v>14</v>
      </c>
      <c r="I87" s="2">
        <v>1240</v>
      </c>
      <c r="J87" t="str">
        <f>TEXT(orders[[#All],[Order_Date]],"mmm")</f>
        <v>Mar</v>
      </c>
      <c r="K87">
        <f>YEAR(orders[[#This Row],[Order_Date]])</f>
        <v>2023</v>
      </c>
    </row>
    <row r="88" spans="1:11" x14ac:dyDescent="0.3">
      <c r="A88">
        <v>1086</v>
      </c>
      <c r="B88" s="1">
        <v>45013</v>
      </c>
      <c r="C88" t="s">
        <v>15</v>
      </c>
      <c r="D88" t="s">
        <v>16</v>
      </c>
      <c r="E88" t="s">
        <v>20</v>
      </c>
      <c r="F88">
        <v>1445</v>
      </c>
      <c r="G88">
        <v>3053</v>
      </c>
      <c r="H88" t="s">
        <v>21</v>
      </c>
      <c r="I88" s="2">
        <v>-1608</v>
      </c>
      <c r="J88" t="str">
        <f>TEXT(orders[[#All],[Order_Date]],"mmm")</f>
        <v>Mar</v>
      </c>
      <c r="K88">
        <f>YEAR(orders[[#This Row],[Order_Date]])</f>
        <v>2023</v>
      </c>
    </row>
    <row r="89" spans="1:11" x14ac:dyDescent="0.3">
      <c r="A89">
        <v>1087</v>
      </c>
      <c r="B89" s="1">
        <v>45014</v>
      </c>
      <c r="C89" t="s">
        <v>15</v>
      </c>
      <c r="D89" t="s">
        <v>19</v>
      </c>
      <c r="E89" t="s">
        <v>24</v>
      </c>
      <c r="F89">
        <v>1348</v>
      </c>
      <c r="G89">
        <v>2255</v>
      </c>
      <c r="H89" t="s">
        <v>21</v>
      </c>
      <c r="I89" s="2">
        <v>-907</v>
      </c>
      <c r="J89" t="str">
        <f>TEXT(orders[[#All],[Order_Date]],"mmm")</f>
        <v>Mar</v>
      </c>
      <c r="K89">
        <f>YEAR(orders[[#This Row],[Order_Date]])</f>
        <v>2023</v>
      </c>
    </row>
    <row r="90" spans="1:11" x14ac:dyDescent="0.3">
      <c r="A90">
        <v>1088</v>
      </c>
      <c r="B90" s="1">
        <v>45015</v>
      </c>
      <c r="C90" t="s">
        <v>13</v>
      </c>
      <c r="D90" t="s">
        <v>16</v>
      </c>
      <c r="E90" t="s">
        <v>20</v>
      </c>
      <c r="F90">
        <v>4780</v>
      </c>
      <c r="G90">
        <v>1600</v>
      </c>
      <c r="H90" t="s">
        <v>14</v>
      </c>
      <c r="I90" s="2">
        <v>3180</v>
      </c>
      <c r="J90" t="str">
        <f>TEXT(orders[[#All],[Order_Date]],"mmm")</f>
        <v>Mar</v>
      </c>
      <c r="K90">
        <f>YEAR(orders[[#This Row],[Order_Date]])</f>
        <v>2023</v>
      </c>
    </row>
    <row r="91" spans="1:11" x14ac:dyDescent="0.3">
      <c r="A91">
        <v>1089</v>
      </c>
      <c r="B91" s="1">
        <v>45016</v>
      </c>
      <c r="C91" t="s">
        <v>23</v>
      </c>
      <c r="D91" t="s">
        <v>16</v>
      </c>
      <c r="E91" t="s">
        <v>24</v>
      </c>
      <c r="F91">
        <v>819</v>
      </c>
      <c r="G91">
        <v>3608</v>
      </c>
      <c r="H91" t="s">
        <v>18</v>
      </c>
      <c r="I91" s="2">
        <v>-2789</v>
      </c>
      <c r="J91" t="str">
        <f>TEXT(orders[[#All],[Order_Date]],"mmm")</f>
        <v>Mar</v>
      </c>
      <c r="K91">
        <f>YEAR(orders[[#This Row],[Order_Date]])</f>
        <v>2023</v>
      </c>
    </row>
    <row r="92" spans="1:11" x14ac:dyDescent="0.3">
      <c r="A92">
        <v>1090</v>
      </c>
      <c r="B92" s="1">
        <v>45017</v>
      </c>
      <c r="C92" t="s">
        <v>13</v>
      </c>
      <c r="D92" t="s">
        <v>19</v>
      </c>
      <c r="E92" t="s">
        <v>24</v>
      </c>
      <c r="F92">
        <v>1966</v>
      </c>
      <c r="G92">
        <v>3731</v>
      </c>
      <c r="H92" t="s">
        <v>12</v>
      </c>
      <c r="I92" s="2">
        <v>-1765</v>
      </c>
      <c r="J92" t="str">
        <f>TEXT(orders[[#All],[Order_Date]],"mmm")</f>
        <v>Apr</v>
      </c>
      <c r="K92">
        <f>YEAR(orders[[#This Row],[Order_Date]])</f>
        <v>2023</v>
      </c>
    </row>
    <row r="93" spans="1:11" x14ac:dyDescent="0.3">
      <c r="A93">
        <v>1091</v>
      </c>
      <c r="B93" s="1">
        <v>45018</v>
      </c>
      <c r="C93" t="s">
        <v>13</v>
      </c>
      <c r="D93" t="s">
        <v>10</v>
      </c>
      <c r="E93" t="s">
        <v>17</v>
      </c>
      <c r="F93">
        <v>3678</v>
      </c>
      <c r="G93">
        <v>2899</v>
      </c>
      <c r="H93" t="s">
        <v>18</v>
      </c>
      <c r="I93" s="2">
        <v>779</v>
      </c>
      <c r="J93" t="str">
        <f>TEXT(orders[[#All],[Order_Date]],"mmm")</f>
        <v>Apr</v>
      </c>
      <c r="K93">
        <f>YEAR(orders[[#This Row],[Order_Date]])</f>
        <v>2023</v>
      </c>
    </row>
    <row r="94" spans="1:11" x14ac:dyDescent="0.3">
      <c r="A94">
        <v>1092</v>
      </c>
      <c r="B94" s="1">
        <v>45019</v>
      </c>
      <c r="C94" t="s">
        <v>23</v>
      </c>
      <c r="D94" t="s">
        <v>10</v>
      </c>
      <c r="E94" t="s">
        <v>25</v>
      </c>
      <c r="F94">
        <v>3015</v>
      </c>
      <c r="G94">
        <v>2228</v>
      </c>
      <c r="H94" t="s">
        <v>18</v>
      </c>
      <c r="I94" s="2">
        <v>787</v>
      </c>
      <c r="J94" t="str">
        <f>TEXT(orders[[#All],[Order_Date]],"mmm")</f>
        <v>Apr</v>
      </c>
      <c r="K94">
        <f>YEAR(orders[[#This Row],[Order_Date]])</f>
        <v>2023</v>
      </c>
    </row>
    <row r="95" spans="1:11" x14ac:dyDescent="0.3">
      <c r="A95">
        <v>1093</v>
      </c>
      <c r="B95" s="1">
        <v>45020</v>
      </c>
      <c r="C95" t="s">
        <v>23</v>
      </c>
      <c r="D95" t="s">
        <v>16</v>
      </c>
      <c r="E95" t="s">
        <v>11</v>
      </c>
      <c r="F95">
        <v>2593</v>
      </c>
      <c r="G95">
        <v>2634</v>
      </c>
      <c r="H95" t="s">
        <v>12</v>
      </c>
      <c r="I95" s="2">
        <v>-41</v>
      </c>
      <c r="J95" t="str">
        <f>TEXT(orders[[#All],[Order_Date]],"mmm")</f>
        <v>Apr</v>
      </c>
      <c r="K95">
        <f>YEAR(orders[[#This Row],[Order_Date]])</f>
        <v>2023</v>
      </c>
    </row>
    <row r="96" spans="1:11" x14ac:dyDescent="0.3">
      <c r="A96">
        <v>1094</v>
      </c>
      <c r="B96" s="1">
        <v>45021</v>
      </c>
      <c r="C96" t="s">
        <v>13</v>
      </c>
      <c r="D96" t="s">
        <v>19</v>
      </c>
      <c r="E96" t="s">
        <v>11</v>
      </c>
      <c r="F96">
        <v>2098</v>
      </c>
      <c r="G96">
        <v>3582</v>
      </c>
      <c r="H96" t="s">
        <v>21</v>
      </c>
      <c r="I96" s="2">
        <v>-1484</v>
      </c>
      <c r="J96" t="str">
        <f>TEXT(orders[[#All],[Order_Date]],"mmm")</f>
        <v>Apr</v>
      </c>
      <c r="K96">
        <f>YEAR(orders[[#This Row],[Order_Date]])</f>
        <v>2023</v>
      </c>
    </row>
    <row r="97" spans="1:11" x14ac:dyDescent="0.3">
      <c r="A97">
        <v>1095</v>
      </c>
      <c r="B97" s="1">
        <v>45022</v>
      </c>
      <c r="C97" t="s">
        <v>9</v>
      </c>
      <c r="D97" t="s">
        <v>19</v>
      </c>
      <c r="E97" t="s">
        <v>22</v>
      </c>
      <c r="F97">
        <v>3594</v>
      </c>
      <c r="G97">
        <v>1741</v>
      </c>
      <c r="H97" t="s">
        <v>26</v>
      </c>
      <c r="I97" s="2">
        <v>1853</v>
      </c>
      <c r="J97" t="str">
        <f>TEXT(orders[[#All],[Order_Date]],"mmm")</f>
        <v>Apr</v>
      </c>
      <c r="K97">
        <f>YEAR(orders[[#This Row],[Order_Date]])</f>
        <v>2023</v>
      </c>
    </row>
    <row r="98" spans="1:11" x14ac:dyDescent="0.3">
      <c r="A98">
        <v>1096</v>
      </c>
      <c r="B98" s="1">
        <v>45023</v>
      </c>
      <c r="C98" t="s">
        <v>23</v>
      </c>
      <c r="D98" t="s">
        <v>10</v>
      </c>
      <c r="E98" t="s">
        <v>25</v>
      </c>
      <c r="F98">
        <v>4221</v>
      </c>
      <c r="G98">
        <v>3033</v>
      </c>
      <c r="H98" t="s">
        <v>18</v>
      </c>
      <c r="I98" s="2">
        <v>1188</v>
      </c>
      <c r="J98" t="str">
        <f>TEXT(orders[[#All],[Order_Date]],"mmm")</f>
        <v>Apr</v>
      </c>
      <c r="K98">
        <f>YEAR(orders[[#This Row],[Order_Date]])</f>
        <v>2023</v>
      </c>
    </row>
    <row r="99" spans="1:11" x14ac:dyDescent="0.3">
      <c r="A99">
        <v>1097</v>
      </c>
      <c r="B99" s="1">
        <v>45024</v>
      </c>
      <c r="C99" t="s">
        <v>13</v>
      </c>
      <c r="D99" t="s">
        <v>10</v>
      </c>
      <c r="E99" t="s">
        <v>20</v>
      </c>
      <c r="F99">
        <v>1856</v>
      </c>
      <c r="G99">
        <v>3862</v>
      </c>
      <c r="H99" t="s">
        <v>21</v>
      </c>
      <c r="I99" s="2">
        <v>-2006</v>
      </c>
      <c r="J99" t="str">
        <f>TEXT(orders[[#All],[Order_Date]],"mmm")</f>
        <v>Apr</v>
      </c>
      <c r="K99">
        <f>YEAR(orders[[#This Row],[Order_Date]])</f>
        <v>2023</v>
      </c>
    </row>
    <row r="100" spans="1:11" x14ac:dyDescent="0.3">
      <c r="A100">
        <v>1098</v>
      </c>
      <c r="B100" s="1">
        <v>45025</v>
      </c>
      <c r="C100" t="s">
        <v>15</v>
      </c>
      <c r="D100" t="s">
        <v>16</v>
      </c>
      <c r="E100" t="s">
        <v>25</v>
      </c>
      <c r="F100">
        <v>2718</v>
      </c>
      <c r="G100">
        <v>2125</v>
      </c>
      <c r="H100" t="s">
        <v>14</v>
      </c>
      <c r="I100" s="2">
        <v>593</v>
      </c>
      <c r="J100" t="str">
        <f>TEXT(orders[[#All],[Order_Date]],"mmm")</f>
        <v>Apr</v>
      </c>
      <c r="K100">
        <f>YEAR(orders[[#This Row],[Order_Date]])</f>
        <v>2023</v>
      </c>
    </row>
    <row r="101" spans="1:11" x14ac:dyDescent="0.3">
      <c r="A101">
        <v>1099</v>
      </c>
      <c r="B101" s="1">
        <v>45026</v>
      </c>
      <c r="C101" t="s">
        <v>9</v>
      </c>
      <c r="D101" t="s">
        <v>10</v>
      </c>
      <c r="E101" t="s">
        <v>11</v>
      </c>
      <c r="F101">
        <v>1259</v>
      </c>
      <c r="G101">
        <v>3094</v>
      </c>
      <c r="H101" t="s">
        <v>18</v>
      </c>
      <c r="I101" s="2">
        <v>-1835</v>
      </c>
      <c r="J101" t="str">
        <f>TEXT(orders[[#All],[Order_Date]],"mmm")</f>
        <v>Apr</v>
      </c>
      <c r="K101">
        <f>YEAR(orders[[#This Row],[Order_Date]])</f>
        <v>2023</v>
      </c>
    </row>
    <row r="102" spans="1:11" x14ac:dyDescent="0.3">
      <c r="A102">
        <v>1100</v>
      </c>
      <c r="B102" s="1">
        <v>45027</v>
      </c>
      <c r="C102" t="s">
        <v>15</v>
      </c>
      <c r="D102" t="s">
        <v>19</v>
      </c>
      <c r="E102" t="s">
        <v>25</v>
      </c>
      <c r="F102">
        <v>4996</v>
      </c>
      <c r="G102">
        <v>1305</v>
      </c>
      <c r="H102" t="s">
        <v>18</v>
      </c>
      <c r="I102" s="2">
        <v>3691</v>
      </c>
      <c r="J102" t="str">
        <f>TEXT(orders[[#All],[Order_Date]],"mmm")</f>
        <v>Apr</v>
      </c>
      <c r="K102">
        <f>YEAR(orders[[#This Row],[Order_Date]])</f>
        <v>2023</v>
      </c>
    </row>
    <row r="103" spans="1:11" x14ac:dyDescent="0.3">
      <c r="A103">
        <v>1101</v>
      </c>
      <c r="B103" s="1">
        <v>45028</v>
      </c>
      <c r="C103" t="s">
        <v>23</v>
      </c>
      <c r="D103" t="s">
        <v>16</v>
      </c>
      <c r="E103" t="s">
        <v>20</v>
      </c>
      <c r="F103">
        <v>3887</v>
      </c>
      <c r="G103">
        <v>1457</v>
      </c>
      <c r="H103" t="s">
        <v>14</v>
      </c>
      <c r="I103" s="2">
        <v>2430</v>
      </c>
      <c r="J103" t="str">
        <f>TEXT(orders[[#All],[Order_Date]],"mmm")</f>
        <v>Apr</v>
      </c>
      <c r="K103">
        <f>YEAR(orders[[#This Row],[Order_Date]])</f>
        <v>2023</v>
      </c>
    </row>
    <row r="104" spans="1:11" x14ac:dyDescent="0.3">
      <c r="A104">
        <v>1102</v>
      </c>
      <c r="B104" s="1">
        <v>45029</v>
      </c>
      <c r="C104" t="s">
        <v>9</v>
      </c>
      <c r="D104" t="s">
        <v>16</v>
      </c>
      <c r="E104" t="s">
        <v>22</v>
      </c>
      <c r="F104">
        <v>4869</v>
      </c>
      <c r="G104">
        <v>310</v>
      </c>
      <c r="H104" t="s">
        <v>26</v>
      </c>
      <c r="I104" s="2">
        <v>4559</v>
      </c>
      <c r="J104" t="str">
        <f>TEXT(orders[[#All],[Order_Date]],"mmm")</f>
        <v>Apr</v>
      </c>
      <c r="K104">
        <f>YEAR(orders[[#This Row],[Order_Date]])</f>
        <v>2023</v>
      </c>
    </row>
    <row r="105" spans="1:11" x14ac:dyDescent="0.3">
      <c r="A105">
        <v>1103</v>
      </c>
      <c r="B105" s="1">
        <v>45030</v>
      </c>
      <c r="C105" t="s">
        <v>13</v>
      </c>
      <c r="D105" t="s">
        <v>19</v>
      </c>
      <c r="E105" t="s">
        <v>17</v>
      </c>
      <c r="F105">
        <v>1840</v>
      </c>
      <c r="G105">
        <v>2868</v>
      </c>
      <c r="H105" t="s">
        <v>26</v>
      </c>
      <c r="I105" s="2">
        <v>-1028</v>
      </c>
      <c r="J105" t="str">
        <f>TEXT(orders[[#All],[Order_Date]],"mmm")</f>
        <v>Apr</v>
      </c>
      <c r="K105">
        <f>YEAR(orders[[#This Row],[Order_Date]])</f>
        <v>2023</v>
      </c>
    </row>
    <row r="106" spans="1:11" x14ac:dyDescent="0.3">
      <c r="A106">
        <v>1104</v>
      </c>
      <c r="B106" s="1">
        <v>45031</v>
      </c>
      <c r="C106" t="s">
        <v>9</v>
      </c>
      <c r="D106" t="s">
        <v>10</v>
      </c>
      <c r="E106" t="s">
        <v>20</v>
      </c>
      <c r="F106">
        <v>1377</v>
      </c>
      <c r="G106">
        <v>1254</v>
      </c>
      <c r="H106" t="s">
        <v>12</v>
      </c>
      <c r="I106" s="2">
        <v>123</v>
      </c>
      <c r="J106" t="str">
        <f>TEXT(orders[[#All],[Order_Date]],"mmm")</f>
        <v>Apr</v>
      </c>
      <c r="K106">
        <f>YEAR(orders[[#This Row],[Order_Date]])</f>
        <v>2023</v>
      </c>
    </row>
    <row r="107" spans="1:11" x14ac:dyDescent="0.3">
      <c r="A107">
        <v>1105</v>
      </c>
      <c r="B107" s="1">
        <v>45032</v>
      </c>
      <c r="C107" t="s">
        <v>23</v>
      </c>
      <c r="D107" t="s">
        <v>10</v>
      </c>
      <c r="E107" t="s">
        <v>24</v>
      </c>
      <c r="F107">
        <v>4777</v>
      </c>
      <c r="G107">
        <v>1995</v>
      </c>
      <c r="H107" t="s">
        <v>14</v>
      </c>
      <c r="I107" s="2">
        <v>2782</v>
      </c>
      <c r="J107" t="str">
        <f>TEXT(orders[[#All],[Order_Date]],"mmm")</f>
        <v>Apr</v>
      </c>
      <c r="K107">
        <f>YEAR(orders[[#This Row],[Order_Date]])</f>
        <v>2023</v>
      </c>
    </row>
    <row r="108" spans="1:11" x14ac:dyDescent="0.3">
      <c r="A108">
        <v>1106</v>
      </c>
      <c r="B108" s="1">
        <v>45033</v>
      </c>
      <c r="C108" t="s">
        <v>9</v>
      </c>
      <c r="D108" t="s">
        <v>19</v>
      </c>
      <c r="E108" t="s">
        <v>22</v>
      </c>
      <c r="F108">
        <v>581</v>
      </c>
      <c r="G108">
        <v>328</v>
      </c>
      <c r="H108" t="s">
        <v>21</v>
      </c>
      <c r="I108" s="2">
        <v>253</v>
      </c>
      <c r="J108" t="str">
        <f>TEXT(orders[[#All],[Order_Date]],"mmm")</f>
        <v>Apr</v>
      </c>
      <c r="K108">
        <f>YEAR(orders[[#This Row],[Order_Date]])</f>
        <v>2023</v>
      </c>
    </row>
    <row r="109" spans="1:11" x14ac:dyDescent="0.3">
      <c r="A109">
        <v>1107</v>
      </c>
      <c r="B109" s="1">
        <v>45034</v>
      </c>
      <c r="C109" t="s">
        <v>13</v>
      </c>
      <c r="D109" t="s">
        <v>10</v>
      </c>
      <c r="E109" t="s">
        <v>20</v>
      </c>
      <c r="F109">
        <v>4113</v>
      </c>
      <c r="G109">
        <v>2085</v>
      </c>
      <c r="H109" t="s">
        <v>21</v>
      </c>
      <c r="I109" s="2">
        <v>2028</v>
      </c>
      <c r="J109" t="str">
        <f>TEXT(orders[[#All],[Order_Date]],"mmm")</f>
        <v>Apr</v>
      </c>
      <c r="K109">
        <f>YEAR(orders[[#This Row],[Order_Date]])</f>
        <v>2023</v>
      </c>
    </row>
    <row r="110" spans="1:11" x14ac:dyDescent="0.3">
      <c r="A110">
        <v>1108</v>
      </c>
      <c r="B110" s="1">
        <v>45035</v>
      </c>
      <c r="C110" t="s">
        <v>13</v>
      </c>
      <c r="D110" t="s">
        <v>10</v>
      </c>
      <c r="E110" t="s">
        <v>20</v>
      </c>
      <c r="F110">
        <v>2746</v>
      </c>
      <c r="G110">
        <v>2548</v>
      </c>
      <c r="H110" t="s">
        <v>26</v>
      </c>
      <c r="I110" s="2">
        <v>198</v>
      </c>
      <c r="J110" t="str">
        <f>TEXT(orders[[#All],[Order_Date]],"mmm")</f>
        <v>Apr</v>
      </c>
      <c r="K110">
        <f>YEAR(orders[[#This Row],[Order_Date]])</f>
        <v>2023</v>
      </c>
    </row>
    <row r="111" spans="1:11" x14ac:dyDescent="0.3">
      <c r="A111">
        <v>1109</v>
      </c>
      <c r="B111" s="1">
        <v>45036</v>
      </c>
      <c r="C111" t="s">
        <v>9</v>
      </c>
      <c r="D111" t="s">
        <v>16</v>
      </c>
      <c r="E111" t="s">
        <v>24</v>
      </c>
      <c r="F111">
        <v>4624</v>
      </c>
      <c r="G111">
        <v>2932</v>
      </c>
      <c r="H111" t="s">
        <v>12</v>
      </c>
      <c r="I111" s="2">
        <v>1692</v>
      </c>
      <c r="J111" t="str">
        <f>TEXT(orders[[#All],[Order_Date]],"mmm")</f>
        <v>Apr</v>
      </c>
      <c r="K111">
        <f>YEAR(orders[[#This Row],[Order_Date]])</f>
        <v>2023</v>
      </c>
    </row>
    <row r="112" spans="1:11" x14ac:dyDescent="0.3">
      <c r="A112">
        <v>1110</v>
      </c>
      <c r="B112" s="1">
        <v>45037</v>
      </c>
      <c r="C112" t="s">
        <v>13</v>
      </c>
      <c r="D112" t="s">
        <v>10</v>
      </c>
      <c r="E112" t="s">
        <v>11</v>
      </c>
      <c r="F112">
        <v>4523</v>
      </c>
      <c r="G112">
        <v>1460</v>
      </c>
      <c r="H112" t="s">
        <v>12</v>
      </c>
      <c r="I112" s="2">
        <v>3063</v>
      </c>
      <c r="J112" t="str">
        <f>TEXT(orders[[#All],[Order_Date]],"mmm")</f>
        <v>Apr</v>
      </c>
      <c r="K112">
        <f>YEAR(orders[[#This Row],[Order_Date]])</f>
        <v>2023</v>
      </c>
    </row>
    <row r="113" spans="1:11" x14ac:dyDescent="0.3">
      <c r="A113">
        <v>1111</v>
      </c>
      <c r="B113" s="1">
        <v>45038</v>
      </c>
      <c r="C113" t="s">
        <v>9</v>
      </c>
      <c r="D113" t="s">
        <v>10</v>
      </c>
      <c r="E113" t="s">
        <v>17</v>
      </c>
      <c r="F113">
        <v>4774</v>
      </c>
      <c r="G113">
        <v>2875</v>
      </c>
      <c r="H113" t="s">
        <v>21</v>
      </c>
      <c r="I113" s="2">
        <v>1899</v>
      </c>
      <c r="J113" t="str">
        <f>TEXT(orders[[#All],[Order_Date]],"mmm")</f>
        <v>Apr</v>
      </c>
      <c r="K113">
        <f>YEAR(orders[[#This Row],[Order_Date]])</f>
        <v>2023</v>
      </c>
    </row>
    <row r="114" spans="1:11" x14ac:dyDescent="0.3">
      <c r="A114">
        <v>1112</v>
      </c>
      <c r="B114" s="1">
        <v>45039</v>
      </c>
      <c r="C114" t="s">
        <v>9</v>
      </c>
      <c r="D114" t="s">
        <v>19</v>
      </c>
      <c r="E114" t="s">
        <v>22</v>
      </c>
      <c r="F114">
        <v>4170</v>
      </c>
      <c r="G114">
        <v>3205</v>
      </c>
      <c r="H114" t="s">
        <v>12</v>
      </c>
      <c r="I114" s="2">
        <v>965</v>
      </c>
      <c r="J114" t="str">
        <f>TEXT(orders[[#All],[Order_Date]],"mmm")</f>
        <v>Apr</v>
      </c>
      <c r="K114">
        <f>YEAR(orders[[#This Row],[Order_Date]])</f>
        <v>2023</v>
      </c>
    </row>
    <row r="115" spans="1:11" x14ac:dyDescent="0.3">
      <c r="A115">
        <v>1113</v>
      </c>
      <c r="B115" s="1">
        <v>45040</v>
      </c>
      <c r="C115" t="s">
        <v>9</v>
      </c>
      <c r="D115" t="s">
        <v>19</v>
      </c>
      <c r="E115" t="s">
        <v>25</v>
      </c>
      <c r="F115">
        <v>2302</v>
      </c>
      <c r="G115">
        <v>2502</v>
      </c>
      <c r="H115" t="s">
        <v>26</v>
      </c>
      <c r="I115" s="2">
        <v>-200</v>
      </c>
      <c r="J115" t="str">
        <f>TEXT(orders[[#All],[Order_Date]],"mmm")</f>
        <v>Apr</v>
      </c>
      <c r="K115">
        <f>YEAR(orders[[#This Row],[Order_Date]])</f>
        <v>2023</v>
      </c>
    </row>
    <row r="116" spans="1:11" x14ac:dyDescent="0.3">
      <c r="A116">
        <v>1114</v>
      </c>
      <c r="B116" s="1">
        <v>45041</v>
      </c>
      <c r="C116" t="s">
        <v>9</v>
      </c>
      <c r="D116" t="s">
        <v>19</v>
      </c>
      <c r="E116" t="s">
        <v>17</v>
      </c>
      <c r="F116">
        <v>4127</v>
      </c>
      <c r="G116">
        <v>3272</v>
      </c>
      <c r="H116" t="s">
        <v>26</v>
      </c>
      <c r="I116" s="2">
        <v>855</v>
      </c>
      <c r="J116" t="str">
        <f>TEXT(orders[[#All],[Order_Date]],"mmm")</f>
        <v>Apr</v>
      </c>
      <c r="K116">
        <f>YEAR(orders[[#This Row],[Order_Date]])</f>
        <v>2023</v>
      </c>
    </row>
    <row r="117" spans="1:11" x14ac:dyDescent="0.3">
      <c r="A117">
        <v>1115</v>
      </c>
      <c r="B117" s="1">
        <v>45042</v>
      </c>
      <c r="C117" t="s">
        <v>23</v>
      </c>
      <c r="D117" t="s">
        <v>19</v>
      </c>
      <c r="E117" t="s">
        <v>22</v>
      </c>
      <c r="F117">
        <v>3503</v>
      </c>
      <c r="G117">
        <v>2661</v>
      </c>
      <c r="H117" t="s">
        <v>12</v>
      </c>
      <c r="I117" s="2">
        <v>842</v>
      </c>
      <c r="J117" t="str">
        <f>TEXT(orders[[#All],[Order_Date]],"mmm")</f>
        <v>Apr</v>
      </c>
      <c r="K117">
        <f>YEAR(orders[[#This Row],[Order_Date]])</f>
        <v>2023</v>
      </c>
    </row>
    <row r="118" spans="1:11" x14ac:dyDescent="0.3">
      <c r="A118">
        <v>1116</v>
      </c>
      <c r="B118" s="1">
        <v>45043</v>
      </c>
      <c r="C118" t="s">
        <v>13</v>
      </c>
      <c r="D118" t="s">
        <v>19</v>
      </c>
      <c r="E118" t="s">
        <v>17</v>
      </c>
      <c r="F118">
        <v>1938</v>
      </c>
      <c r="G118">
        <v>1827</v>
      </c>
      <c r="H118" t="s">
        <v>26</v>
      </c>
      <c r="I118" s="2">
        <v>111</v>
      </c>
      <c r="J118" t="str">
        <f>TEXT(orders[[#All],[Order_Date]],"mmm")</f>
        <v>Apr</v>
      </c>
      <c r="K118">
        <f>YEAR(orders[[#This Row],[Order_Date]])</f>
        <v>2023</v>
      </c>
    </row>
    <row r="119" spans="1:11" x14ac:dyDescent="0.3">
      <c r="A119">
        <v>1117</v>
      </c>
      <c r="B119" s="1">
        <v>45044</v>
      </c>
      <c r="C119" t="s">
        <v>9</v>
      </c>
      <c r="D119" t="s">
        <v>19</v>
      </c>
      <c r="E119" t="s">
        <v>11</v>
      </c>
      <c r="F119">
        <v>1666</v>
      </c>
      <c r="G119">
        <v>1130</v>
      </c>
      <c r="H119" t="s">
        <v>26</v>
      </c>
      <c r="I119" s="2">
        <v>536</v>
      </c>
      <c r="J119" t="str">
        <f>TEXT(orders[[#All],[Order_Date]],"mmm")</f>
        <v>Apr</v>
      </c>
      <c r="K119">
        <f>YEAR(orders[[#This Row],[Order_Date]])</f>
        <v>2023</v>
      </c>
    </row>
    <row r="120" spans="1:11" x14ac:dyDescent="0.3">
      <c r="A120">
        <v>1118</v>
      </c>
      <c r="B120" s="1">
        <v>45045</v>
      </c>
      <c r="C120" t="s">
        <v>13</v>
      </c>
      <c r="D120" t="s">
        <v>16</v>
      </c>
      <c r="E120" t="s">
        <v>25</v>
      </c>
      <c r="F120">
        <v>2535</v>
      </c>
      <c r="G120">
        <v>1210</v>
      </c>
      <c r="H120" t="s">
        <v>12</v>
      </c>
      <c r="I120" s="2">
        <v>1325</v>
      </c>
      <c r="J120" t="str">
        <f>TEXT(orders[[#All],[Order_Date]],"mmm")</f>
        <v>Apr</v>
      </c>
      <c r="K120">
        <f>YEAR(orders[[#This Row],[Order_Date]])</f>
        <v>2023</v>
      </c>
    </row>
    <row r="121" spans="1:11" x14ac:dyDescent="0.3">
      <c r="A121">
        <v>1119</v>
      </c>
      <c r="B121" s="1">
        <v>45046</v>
      </c>
      <c r="C121" t="s">
        <v>23</v>
      </c>
      <c r="D121" t="s">
        <v>10</v>
      </c>
      <c r="E121" t="s">
        <v>24</v>
      </c>
      <c r="F121">
        <v>1580</v>
      </c>
      <c r="G121">
        <v>3259</v>
      </c>
      <c r="H121" t="s">
        <v>26</v>
      </c>
      <c r="I121" s="2">
        <v>-1679</v>
      </c>
      <c r="J121" t="str">
        <f>TEXT(orders[[#All],[Order_Date]],"mmm")</f>
        <v>Apr</v>
      </c>
      <c r="K121">
        <f>YEAR(orders[[#This Row],[Order_Date]])</f>
        <v>2023</v>
      </c>
    </row>
    <row r="122" spans="1:11" x14ac:dyDescent="0.3">
      <c r="A122">
        <v>1120</v>
      </c>
      <c r="B122" s="1">
        <v>45047</v>
      </c>
      <c r="C122" t="s">
        <v>13</v>
      </c>
      <c r="D122" t="s">
        <v>16</v>
      </c>
      <c r="E122" t="s">
        <v>24</v>
      </c>
      <c r="F122">
        <v>2396</v>
      </c>
      <c r="G122">
        <v>1452</v>
      </c>
      <c r="H122" t="s">
        <v>14</v>
      </c>
      <c r="I122" s="2">
        <v>944</v>
      </c>
      <c r="J122" t="str">
        <f>TEXT(orders[[#All],[Order_Date]],"mmm")</f>
        <v>May</v>
      </c>
      <c r="K122">
        <f>YEAR(orders[[#This Row],[Order_Date]])</f>
        <v>2023</v>
      </c>
    </row>
    <row r="123" spans="1:11" x14ac:dyDescent="0.3">
      <c r="A123">
        <v>1121</v>
      </c>
      <c r="B123" s="1">
        <v>45048</v>
      </c>
      <c r="C123" t="s">
        <v>13</v>
      </c>
      <c r="D123" t="s">
        <v>10</v>
      </c>
      <c r="E123" t="s">
        <v>20</v>
      </c>
      <c r="F123">
        <v>2691</v>
      </c>
      <c r="G123">
        <v>1411</v>
      </c>
      <c r="H123" t="s">
        <v>26</v>
      </c>
      <c r="I123" s="2">
        <v>1280</v>
      </c>
      <c r="J123" t="str">
        <f>TEXT(orders[[#All],[Order_Date]],"mmm")</f>
        <v>May</v>
      </c>
      <c r="K123">
        <f>YEAR(orders[[#This Row],[Order_Date]])</f>
        <v>2023</v>
      </c>
    </row>
    <row r="124" spans="1:11" x14ac:dyDescent="0.3">
      <c r="A124">
        <v>1122</v>
      </c>
      <c r="B124" s="1">
        <v>45049</v>
      </c>
      <c r="C124" t="s">
        <v>15</v>
      </c>
      <c r="D124" t="s">
        <v>19</v>
      </c>
      <c r="E124" t="s">
        <v>24</v>
      </c>
      <c r="F124">
        <v>1131</v>
      </c>
      <c r="G124">
        <v>1245</v>
      </c>
      <c r="H124" t="s">
        <v>18</v>
      </c>
      <c r="I124" s="2">
        <v>-114</v>
      </c>
      <c r="J124" t="str">
        <f>TEXT(orders[[#All],[Order_Date]],"mmm")</f>
        <v>May</v>
      </c>
      <c r="K124">
        <f>YEAR(orders[[#This Row],[Order_Date]])</f>
        <v>2023</v>
      </c>
    </row>
    <row r="125" spans="1:11" x14ac:dyDescent="0.3">
      <c r="A125">
        <v>1123</v>
      </c>
      <c r="B125" s="1">
        <v>45050</v>
      </c>
      <c r="C125" t="s">
        <v>15</v>
      </c>
      <c r="D125" t="s">
        <v>10</v>
      </c>
      <c r="E125" t="s">
        <v>20</v>
      </c>
      <c r="F125">
        <v>3549</v>
      </c>
      <c r="G125">
        <v>263</v>
      </c>
      <c r="H125" t="s">
        <v>21</v>
      </c>
      <c r="I125" s="2">
        <v>3286</v>
      </c>
      <c r="J125" t="str">
        <f>TEXT(orders[[#All],[Order_Date]],"mmm")</f>
        <v>May</v>
      </c>
      <c r="K125">
        <f>YEAR(orders[[#This Row],[Order_Date]])</f>
        <v>2023</v>
      </c>
    </row>
    <row r="126" spans="1:11" x14ac:dyDescent="0.3">
      <c r="A126">
        <v>1124</v>
      </c>
      <c r="B126" s="1">
        <v>45051</v>
      </c>
      <c r="C126" t="s">
        <v>15</v>
      </c>
      <c r="D126" t="s">
        <v>16</v>
      </c>
      <c r="E126" t="s">
        <v>22</v>
      </c>
      <c r="F126">
        <v>2856</v>
      </c>
      <c r="G126">
        <v>1958</v>
      </c>
      <c r="H126" t="s">
        <v>14</v>
      </c>
      <c r="I126" s="2">
        <v>898</v>
      </c>
      <c r="J126" t="str">
        <f>TEXT(orders[[#All],[Order_Date]],"mmm")</f>
        <v>May</v>
      </c>
      <c r="K126">
        <f>YEAR(orders[[#This Row],[Order_Date]])</f>
        <v>2023</v>
      </c>
    </row>
    <row r="127" spans="1:11" x14ac:dyDescent="0.3">
      <c r="A127">
        <v>1125</v>
      </c>
      <c r="B127" s="1">
        <v>45052</v>
      </c>
      <c r="C127" t="s">
        <v>9</v>
      </c>
      <c r="D127" t="s">
        <v>10</v>
      </c>
      <c r="E127" t="s">
        <v>17</v>
      </c>
      <c r="F127">
        <v>3659</v>
      </c>
      <c r="G127">
        <v>3776</v>
      </c>
      <c r="H127" t="s">
        <v>12</v>
      </c>
      <c r="I127" s="2">
        <v>-117</v>
      </c>
      <c r="J127" t="str">
        <f>TEXT(orders[[#All],[Order_Date]],"mmm")</f>
        <v>May</v>
      </c>
      <c r="K127">
        <f>YEAR(orders[[#This Row],[Order_Date]])</f>
        <v>2023</v>
      </c>
    </row>
    <row r="128" spans="1:11" x14ac:dyDescent="0.3">
      <c r="A128">
        <v>1126</v>
      </c>
      <c r="B128" s="1">
        <v>45053</v>
      </c>
      <c r="C128" t="s">
        <v>15</v>
      </c>
      <c r="D128" t="s">
        <v>10</v>
      </c>
      <c r="E128" t="s">
        <v>25</v>
      </c>
      <c r="F128">
        <v>3478</v>
      </c>
      <c r="G128">
        <v>1837</v>
      </c>
      <c r="H128" t="s">
        <v>21</v>
      </c>
      <c r="I128" s="2">
        <v>1641</v>
      </c>
      <c r="J128" t="str">
        <f>TEXT(orders[[#All],[Order_Date]],"mmm")</f>
        <v>May</v>
      </c>
      <c r="K128">
        <f>YEAR(orders[[#This Row],[Order_Date]])</f>
        <v>2023</v>
      </c>
    </row>
    <row r="129" spans="1:11" x14ac:dyDescent="0.3">
      <c r="A129">
        <v>1127</v>
      </c>
      <c r="B129" s="1">
        <v>45054</v>
      </c>
      <c r="C129" t="s">
        <v>15</v>
      </c>
      <c r="D129" t="s">
        <v>19</v>
      </c>
      <c r="E129" t="s">
        <v>25</v>
      </c>
      <c r="F129">
        <v>937</v>
      </c>
      <c r="G129">
        <v>2905</v>
      </c>
      <c r="H129" t="s">
        <v>18</v>
      </c>
      <c r="I129" s="2">
        <v>-1968</v>
      </c>
      <c r="J129" t="str">
        <f>TEXT(orders[[#All],[Order_Date]],"mmm")</f>
        <v>May</v>
      </c>
      <c r="K129">
        <f>YEAR(orders[[#This Row],[Order_Date]])</f>
        <v>2023</v>
      </c>
    </row>
    <row r="130" spans="1:11" x14ac:dyDescent="0.3">
      <c r="A130">
        <v>1128</v>
      </c>
      <c r="B130" s="1">
        <v>45055</v>
      </c>
      <c r="C130" t="s">
        <v>15</v>
      </c>
      <c r="D130" t="s">
        <v>16</v>
      </c>
      <c r="E130" t="s">
        <v>20</v>
      </c>
      <c r="F130">
        <v>3320</v>
      </c>
      <c r="G130">
        <v>3310</v>
      </c>
      <c r="H130" t="s">
        <v>21</v>
      </c>
      <c r="I130" s="2">
        <v>10</v>
      </c>
      <c r="J130" t="str">
        <f>TEXT(orders[[#All],[Order_Date]],"mmm")</f>
        <v>May</v>
      </c>
      <c r="K130">
        <f>YEAR(orders[[#This Row],[Order_Date]])</f>
        <v>2023</v>
      </c>
    </row>
    <row r="131" spans="1:11" x14ac:dyDescent="0.3">
      <c r="A131">
        <v>1129</v>
      </c>
      <c r="B131" s="1">
        <v>45056</v>
      </c>
      <c r="C131" t="s">
        <v>13</v>
      </c>
      <c r="D131" t="s">
        <v>19</v>
      </c>
      <c r="E131" t="s">
        <v>22</v>
      </c>
      <c r="F131">
        <v>4463</v>
      </c>
      <c r="G131">
        <v>1943</v>
      </c>
      <c r="H131" t="s">
        <v>26</v>
      </c>
      <c r="I131" s="2">
        <v>2520</v>
      </c>
      <c r="J131" t="str">
        <f>TEXT(orders[[#All],[Order_Date]],"mmm")</f>
        <v>May</v>
      </c>
      <c r="K131">
        <f>YEAR(orders[[#This Row],[Order_Date]])</f>
        <v>2023</v>
      </c>
    </row>
    <row r="132" spans="1:11" x14ac:dyDescent="0.3">
      <c r="A132">
        <v>1130</v>
      </c>
      <c r="B132" s="1">
        <v>45057</v>
      </c>
      <c r="C132" t="s">
        <v>9</v>
      </c>
      <c r="D132" t="s">
        <v>19</v>
      </c>
      <c r="E132" t="s">
        <v>25</v>
      </c>
      <c r="F132">
        <v>2702</v>
      </c>
      <c r="G132">
        <v>3145</v>
      </c>
      <c r="H132" t="s">
        <v>21</v>
      </c>
      <c r="I132" s="2">
        <v>-443</v>
      </c>
      <c r="J132" t="str">
        <f>TEXT(orders[[#All],[Order_Date]],"mmm")</f>
        <v>May</v>
      </c>
      <c r="K132">
        <f>YEAR(orders[[#This Row],[Order_Date]])</f>
        <v>2023</v>
      </c>
    </row>
    <row r="133" spans="1:11" x14ac:dyDescent="0.3">
      <c r="A133">
        <v>1131</v>
      </c>
      <c r="B133" s="1">
        <v>45058</v>
      </c>
      <c r="C133" t="s">
        <v>13</v>
      </c>
      <c r="D133" t="s">
        <v>19</v>
      </c>
      <c r="E133" t="s">
        <v>25</v>
      </c>
      <c r="F133">
        <v>1992</v>
      </c>
      <c r="G133">
        <v>2391</v>
      </c>
      <c r="H133" t="s">
        <v>12</v>
      </c>
      <c r="I133" s="2">
        <v>-399</v>
      </c>
      <c r="J133" t="str">
        <f>TEXT(orders[[#All],[Order_Date]],"mmm")</f>
        <v>May</v>
      </c>
      <c r="K133">
        <f>YEAR(orders[[#This Row],[Order_Date]])</f>
        <v>2023</v>
      </c>
    </row>
    <row r="134" spans="1:11" x14ac:dyDescent="0.3">
      <c r="A134">
        <v>1132</v>
      </c>
      <c r="B134" s="1">
        <v>45059</v>
      </c>
      <c r="C134" t="s">
        <v>15</v>
      </c>
      <c r="D134" t="s">
        <v>10</v>
      </c>
      <c r="E134" t="s">
        <v>17</v>
      </c>
      <c r="F134">
        <v>2937</v>
      </c>
      <c r="G134">
        <v>3249</v>
      </c>
      <c r="H134" t="s">
        <v>26</v>
      </c>
      <c r="I134" s="2">
        <v>-312</v>
      </c>
      <c r="J134" t="str">
        <f>TEXT(orders[[#All],[Order_Date]],"mmm")</f>
        <v>May</v>
      </c>
      <c r="K134">
        <f>YEAR(orders[[#This Row],[Order_Date]])</f>
        <v>2023</v>
      </c>
    </row>
    <row r="135" spans="1:11" x14ac:dyDescent="0.3">
      <c r="A135">
        <v>1133</v>
      </c>
      <c r="B135" s="1">
        <v>45060</v>
      </c>
      <c r="C135" t="s">
        <v>23</v>
      </c>
      <c r="D135" t="s">
        <v>10</v>
      </c>
      <c r="E135" t="s">
        <v>17</v>
      </c>
      <c r="F135">
        <v>2821</v>
      </c>
      <c r="G135">
        <v>2974</v>
      </c>
      <c r="H135" t="s">
        <v>26</v>
      </c>
      <c r="I135" s="2">
        <v>-153</v>
      </c>
      <c r="J135" t="str">
        <f>TEXT(orders[[#All],[Order_Date]],"mmm")</f>
        <v>May</v>
      </c>
      <c r="K135">
        <f>YEAR(orders[[#This Row],[Order_Date]])</f>
        <v>2023</v>
      </c>
    </row>
    <row r="136" spans="1:11" x14ac:dyDescent="0.3">
      <c r="A136">
        <v>1134</v>
      </c>
      <c r="B136" s="1">
        <v>45061</v>
      </c>
      <c r="C136" t="s">
        <v>9</v>
      </c>
      <c r="D136" t="s">
        <v>16</v>
      </c>
      <c r="E136" t="s">
        <v>20</v>
      </c>
      <c r="F136">
        <v>2488</v>
      </c>
      <c r="G136">
        <v>1973</v>
      </c>
      <c r="H136" t="s">
        <v>18</v>
      </c>
      <c r="I136" s="2">
        <v>515</v>
      </c>
      <c r="J136" t="str">
        <f>TEXT(orders[[#All],[Order_Date]],"mmm")</f>
        <v>May</v>
      </c>
      <c r="K136">
        <f>YEAR(orders[[#This Row],[Order_Date]])</f>
        <v>2023</v>
      </c>
    </row>
    <row r="137" spans="1:11" x14ac:dyDescent="0.3">
      <c r="A137">
        <v>1135</v>
      </c>
      <c r="B137" s="1">
        <v>45062</v>
      </c>
      <c r="C137" t="s">
        <v>15</v>
      </c>
      <c r="D137" t="s">
        <v>10</v>
      </c>
      <c r="E137" t="s">
        <v>17</v>
      </c>
      <c r="F137">
        <v>2860</v>
      </c>
      <c r="G137">
        <v>3801</v>
      </c>
      <c r="H137" t="s">
        <v>21</v>
      </c>
      <c r="I137" s="2">
        <v>-941</v>
      </c>
      <c r="J137" t="str">
        <f>TEXT(orders[[#All],[Order_Date]],"mmm")</f>
        <v>May</v>
      </c>
      <c r="K137">
        <f>YEAR(orders[[#This Row],[Order_Date]])</f>
        <v>2023</v>
      </c>
    </row>
    <row r="138" spans="1:11" x14ac:dyDescent="0.3">
      <c r="A138">
        <v>1136</v>
      </c>
      <c r="B138" s="1">
        <v>45063</v>
      </c>
      <c r="C138" t="s">
        <v>23</v>
      </c>
      <c r="D138" t="s">
        <v>10</v>
      </c>
      <c r="E138" t="s">
        <v>22</v>
      </c>
      <c r="F138">
        <v>2708</v>
      </c>
      <c r="G138">
        <v>1460</v>
      </c>
      <c r="H138" t="s">
        <v>18</v>
      </c>
      <c r="I138" s="2">
        <v>1248</v>
      </c>
      <c r="J138" t="str">
        <f>TEXT(orders[[#All],[Order_Date]],"mmm")</f>
        <v>May</v>
      </c>
      <c r="K138">
        <f>YEAR(orders[[#This Row],[Order_Date]])</f>
        <v>2023</v>
      </c>
    </row>
    <row r="139" spans="1:11" x14ac:dyDescent="0.3">
      <c r="A139">
        <v>1137</v>
      </c>
      <c r="B139" s="1">
        <v>45064</v>
      </c>
      <c r="C139" t="s">
        <v>9</v>
      </c>
      <c r="D139" t="s">
        <v>16</v>
      </c>
      <c r="E139" t="s">
        <v>20</v>
      </c>
      <c r="F139">
        <v>837</v>
      </c>
      <c r="G139">
        <v>2173</v>
      </c>
      <c r="H139" t="s">
        <v>26</v>
      </c>
      <c r="I139" s="2">
        <v>-1336</v>
      </c>
      <c r="J139" t="str">
        <f>TEXT(orders[[#All],[Order_Date]],"mmm")</f>
        <v>May</v>
      </c>
      <c r="K139">
        <f>YEAR(orders[[#This Row],[Order_Date]])</f>
        <v>2023</v>
      </c>
    </row>
    <row r="140" spans="1:11" x14ac:dyDescent="0.3">
      <c r="A140">
        <v>1138</v>
      </c>
      <c r="B140" s="1">
        <v>45065</v>
      </c>
      <c r="C140" t="s">
        <v>23</v>
      </c>
      <c r="D140" t="s">
        <v>19</v>
      </c>
      <c r="E140" t="s">
        <v>22</v>
      </c>
      <c r="F140">
        <v>573</v>
      </c>
      <c r="G140">
        <v>3678</v>
      </c>
      <c r="H140" t="s">
        <v>26</v>
      </c>
      <c r="I140" s="2">
        <v>-3105</v>
      </c>
      <c r="J140" t="str">
        <f>TEXT(orders[[#All],[Order_Date]],"mmm")</f>
        <v>May</v>
      </c>
      <c r="K140">
        <f>YEAR(orders[[#This Row],[Order_Date]])</f>
        <v>2023</v>
      </c>
    </row>
    <row r="141" spans="1:11" x14ac:dyDescent="0.3">
      <c r="A141">
        <v>1139</v>
      </c>
      <c r="B141" s="1">
        <v>45066</v>
      </c>
      <c r="C141" t="s">
        <v>9</v>
      </c>
      <c r="D141" t="s">
        <v>16</v>
      </c>
      <c r="E141" t="s">
        <v>22</v>
      </c>
      <c r="F141">
        <v>1240</v>
      </c>
      <c r="G141">
        <v>1685</v>
      </c>
      <c r="H141" t="s">
        <v>18</v>
      </c>
      <c r="I141" s="2">
        <v>-445</v>
      </c>
      <c r="J141" t="str">
        <f>TEXT(orders[[#All],[Order_Date]],"mmm")</f>
        <v>May</v>
      </c>
      <c r="K141">
        <f>YEAR(orders[[#This Row],[Order_Date]])</f>
        <v>2023</v>
      </c>
    </row>
    <row r="142" spans="1:11" x14ac:dyDescent="0.3">
      <c r="A142">
        <v>1140</v>
      </c>
      <c r="B142" s="1">
        <v>45067</v>
      </c>
      <c r="C142" t="s">
        <v>15</v>
      </c>
      <c r="D142" t="s">
        <v>16</v>
      </c>
      <c r="E142" t="s">
        <v>25</v>
      </c>
      <c r="F142">
        <v>2898</v>
      </c>
      <c r="G142">
        <v>2874</v>
      </c>
      <c r="H142" t="s">
        <v>26</v>
      </c>
      <c r="I142" s="2">
        <v>24</v>
      </c>
      <c r="J142" t="str">
        <f>TEXT(orders[[#All],[Order_Date]],"mmm")</f>
        <v>May</v>
      </c>
      <c r="K142">
        <f>YEAR(orders[[#This Row],[Order_Date]])</f>
        <v>2023</v>
      </c>
    </row>
    <row r="143" spans="1:11" x14ac:dyDescent="0.3">
      <c r="A143">
        <v>1141</v>
      </c>
      <c r="B143" s="1">
        <v>45068</v>
      </c>
      <c r="C143" t="s">
        <v>13</v>
      </c>
      <c r="D143" t="s">
        <v>10</v>
      </c>
      <c r="E143" t="s">
        <v>24</v>
      </c>
      <c r="F143">
        <v>3901</v>
      </c>
      <c r="G143">
        <v>3447</v>
      </c>
      <c r="H143" t="s">
        <v>21</v>
      </c>
      <c r="I143" s="2">
        <v>454</v>
      </c>
      <c r="J143" t="str">
        <f>TEXT(orders[[#All],[Order_Date]],"mmm")</f>
        <v>May</v>
      </c>
      <c r="K143">
        <f>YEAR(orders[[#This Row],[Order_Date]])</f>
        <v>2023</v>
      </c>
    </row>
    <row r="144" spans="1:11" x14ac:dyDescent="0.3">
      <c r="A144">
        <v>1142</v>
      </c>
      <c r="B144" s="1">
        <v>45069</v>
      </c>
      <c r="C144" t="s">
        <v>23</v>
      </c>
      <c r="D144" t="s">
        <v>16</v>
      </c>
      <c r="E144" t="s">
        <v>25</v>
      </c>
      <c r="F144">
        <v>4960</v>
      </c>
      <c r="G144">
        <v>1930</v>
      </c>
      <c r="H144" t="s">
        <v>14</v>
      </c>
      <c r="I144" s="2">
        <v>3030</v>
      </c>
      <c r="J144" t="str">
        <f>TEXT(orders[[#All],[Order_Date]],"mmm")</f>
        <v>May</v>
      </c>
      <c r="K144">
        <f>YEAR(orders[[#This Row],[Order_Date]])</f>
        <v>2023</v>
      </c>
    </row>
    <row r="145" spans="1:11" x14ac:dyDescent="0.3">
      <c r="A145">
        <v>1143</v>
      </c>
      <c r="B145" s="1">
        <v>45070</v>
      </c>
      <c r="C145" t="s">
        <v>23</v>
      </c>
      <c r="D145" t="s">
        <v>16</v>
      </c>
      <c r="E145" t="s">
        <v>17</v>
      </c>
      <c r="F145">
        <v>3748</v>
      </c>
      <c r="G145">
        <v>467</v>
      </c>
      <c r="H145" t="s">
        <v>18</v>
      </c>
      <c r="I145" s="2">
        <v>3281</v>
      </c>
      <c r="J145" t="str">
        <f>TEXT(orders[[#All],[Order_Date]],"mmm")</f>
        <v>May</v>
      </c>
      <c r="K145">
        <f>YEAR(orders[[#This Row],[Order_Date]])</f>
        <v>2023</v>
      </c>
    </row>
    <row r="146" spans="1:11" x14ac:dyDescent="0.3">
      <c r="A146">
        <v>1144</v>
      </c>
      <c r="B146" s="1">
        <v>45071</v>
      </c>
      <c r="C146" t="s">
        <v>15</v>
      </c>
      <c r="D146" t="s">
        <v>10</v>
      </c>
      <c r="E146" t="s">
        <v>24</v>
      </c>
      <c r="F146">
        <v>1239</v>
      </c>
      <c r="G146">
        <v>2129</v>
      </c>
      <c r="H146" t="s">
        <v>12</v>
      </c>
      <c r="I146" s="2">
        <v>-890</v>
      </c>
      <c r="J146" t="str">
        <f>TEXT(orders[[#All],[Order_Date]],"mmm")</f>
        <v>May</v>
      </c>
      <c r="K146">
        <f>YEAR(orders[[#This Row],[Order_Date]])</f>
        <v>2023</v>
      </c>
    </row>
    <row r="147" spans="1:11" x14ac:dyDescent="0.3">
      <c r="A147">
        <v>1145</v>
      </c>
      <c r="B147" s="1">
        <v>45072</v>
      </c>
      <c r="C147" t="s">
        <v>9</v>
      </c>
      <c r="D147" t="s">
        <v>16</v>
      </c>
      <c r="E147" t="s">
        <v>11</v>
      </c>
      <c r="F147">
        <v>3915</v>
      </c>
      <c r="G147">
        <v>2746</v>
      </c>
      <c r="H147" t="s">
        <v>14</v>
      </c>
      <c r="I147" s="2">
        <v>1169</v>
      </c>
      <c r="J147" t="str">
        <f>TEXT(orders[[#All],[Order_Date]],"mmm")</f>
        <v>May</v>
      </c>
      <c r="K147">
        <f>YEAR(orders[[#This Row],[Order_Date]])</f>
        <v>2023</v>
      </c>
    </row>
    <row r="148" spans="1:11" x14ac:dyDescent="0.3">
      <c r="A148">
        <v>1146</v>
      </c>
      <c r="B148" s="1">
        <v>45073</v>
      </c>
      <c r="C148" t="s">
        <v>13</v>
      </c>
      <c r="D148" t="s">
        <v>19</v>
      </c>
      <c r="E148" t="s">
        <v>24</v>
      </c>
      <c r="F148">
        <v>916</v>
      </c>
      <c r="G148">
        <v>3056</v>
      </c>
      <c r="H148" t="s">
        <v>12</v>
      </c>
      <c r="I148" s="2">
        <v>-2140</v>
      </c>
      <c r="J148" t="str">
        <f>TEXT(orders[[#All],[Order_Date]],"mmm")</f>
        <v>May</v>
      </c>
      <c r="K148">
        <f>YEAR(orders[[#This Row],[Order_Date]])</f>
        <v>2023</v>
      </c>
    </row>
    <row r="149" spans="1:11" x14ac:dyDescent="0.3">
      <c r="A149">
        <v>1147</v>
      </c>
      <c r="B149" s="1">
        <v>45074</v>
      </c>
      <c r="C149" t="s">
        <v>15</v>
      </c>
      <c r="D149" t="s">
        <v>10</v>
      </c>
      <c r="E149" t="s">
        <v>17</v>
      </c>
      <c r="F149">
        <v>2860</v>
      </c>
      <c r="G149">
        <v>1147</v>
      </c>
      <c r="H149" t="s">
        <v>26</v>
      </c>
      <c r="I149" s="2">
        <v>1713</v>
      </c>
      <c r="J149" t="str">
        <f>TEXT(orders[[#All],[Order_Date]],"mmm")</f>
        <v>May</v>
      </c>
      <c r="K149">
        <f>YEAR(orders[[#This Row],[Order_Date]])</f>
        <v>2023</v>
      </c>
    </row>
    <row r="150" spans="1:11" x14ac:dyDescent="0.3">
      <c r="A150">
        <v>1148</v>
      </c>
      <c r="B150" s="1">
        <v>45075</v>
      </c>
      <c r="C150" t="s">
        <v>15</v>
      </c>
      <c r="D150" t="s">
        <v>19</v>
      </c>
      <c r="E150" t="s">
        <v>17</v>
      </c>
      <c r="F150">
        <v>912</v>
      </c>
      <c r="G150">
        <v>247</v>
      </c>
      <c r="H150" t="s">
        <v>14</v>
      </c>
      <c r="I150" s="2">
        <v>665</v>
      </c>
      <c r="J150" t="str">
        <f>TEXT(orders[[#All],[Order_Date]],"mmm")</f>
        <v>May</v>
      </c>
      <c r="K150">
        <f>YEAR(orders[[#This Row],[Order_Date]])</f>
        <v>2023</v>
      </c>
    </row>
    <row r="151" spans="1:11" x14ac:dyDescent="0.3">
      <c r="A151">
        <v>1149</v>
      </c>
      <c r="B151" s="1">
        <v>45076</v>
      </c>
      <c r="C151" t="s">
        <v>13</v>
      </c>
      <c r="D151" t="s">
        <v>16</v>
      </c>
      <c r="E151" t="s">
        <v>17</v>
      </c>
      <c r="F151">
        <v>4767</v>
      </c>
      <c r="G151">
        <v>972</v>
      </c>
      <c r="H151" t="s">
        <v>26</v>
      </c>
      <c r="I151" s="2">
        <v>3795</v>
      </c>
      <c r="J151" t="str">
        <f>TEXT(orders[[#All],[Order_Date]],"mmm")</f>
        <v>May</v>
      </c>
      <c r="K151">
        <f>YEAR(orders[[#This Row],[Order_Date]])</f>
        <v>2023</v>
      </c>
    </row>
    <row r="152" spans="1:11" x14ac:dyDescent="0.3">
      <c r="A152">
        <v>1150</v>
      </c>
      <c r="B152" s="1">
        <v>45077</v>
      </c>
      <c r="C152" t="s">
        <v>9</v>
      </c>
      <c r="D152" t="s">
        <v>19</v>
      </c>
      <c r="E152" t="s">
        <v>20</v>
      </c>
      <c r="F152">
        <v>678</v>
      </c>
      <c r="G152">
        <v>2130</v>
      </c>
      <c r="H152" t="s">
        <v>26</v>
      </c>
      <c r="I152" s="2">
        <v>-1452</v>
      </c>
      <c r="J152" t="str">
        <f>TEXT(orders[[#All],[Order_Date]],"mmm")</f>
        <v>May</v>
      </c>
      <c r="K152">
        <f>YEAR(orders[[#This Row],[Order_Date]])</f>
        <v>2023</v>
      </c>
    </row>
    <row r="153" spans="1:11" x14ac:dyDescent="0.3">
      <c r="A153">
        <v>1151</v>
      </c>
      <c r="B153" s="1">
        <v>45078</v>
      </c>
      <c r="C153" t="s">
        <v>23</v>
      </c>
      <c r="D153" t="s">
        <v>19</v>
      </c>
      <c r="E153" t="s">
        <v>17</v>
      </c>
      <c r="F153">
        <v>3362</v>
      </c>
      <c r="G153">
        <v>3769</v>
      </c>
      <c r="H153" t="s">
        <v>18</v>
      </c>
      <c r="I153" s="2">
        <v>-407</v>
      </c>
      <c r="J153" t="str">
        <f>TEXT(orders[[#All],[Order_Date]],"mmm")</f>
        <v>Jun</v>
      </c>
      <c r="K153">
        <f>YEAR(orders[[#This Row],[Order_Date]])</f>
        <v>2023</v>
      </c>
    </row>
    <row r="154" spans="1:11" x14ac:dyDescent="0.3">
      <c r="A154">
        <v>1152</v>
      </c>
      <c r="B154" s="1">
        <v>45079</v>
      </c>
      <c r="C154" t="s">
        <v>23</v>
      </c>
      <c r="D154" t="s">
        <v>10</v>
      </c>
      <c r="E154" t="s">
        <v>11</v>
      </c>
      <c r="F154">
        <v>2656</v>
      </c>
      <c r="G154">
        <v>2502</v>
      </c>
      <c r="H154" t="s">
        <v>12</v>
      </c>
      <c r="I154" s="2">
        <v>154</v>
      </c>
      <c r="J154" t="str">
        <f>TEXT(orders[[#All],[Order_Date]],"mmm")</f>
        <v>Jun</v>
      </c>
      <c r="K154">
        <f>YEAR(orders[[#This Row],[Order_Date]])</f>
        <v>2023</v>
      </c>
    </row>
    <row r="155" spans="1:11" x14ac:dyDescent="0.3">
      <c r="A155">
        <v>1153</v>
      </c>
      <c r="B155" s="1">
        <v>45080</v>
      </c>
      <c r="C155" t="s">
        <v>13</v>
      </c>
      <c r="D155" t="s">
        <v>19</v>
      </c>
      <c r="E155" t="s">
        <v>20</v>
      </c>
      <c r="F155">
        <v>2969</v>
      </c>
      <c r="G155">
        <v>846</v>
      </c>
      <c r="H155" t="s">
        <v>21</v>
      </c>
      <c r="I155" s="2">
        <v>2123</v>
      </c>
      <c r="J155" t="str">
        <f>TEXT(orders[[#All],[Order_Date]],"mmm")</f>
        <v>Jun</v>
      </c>
      <c r="K155">
        <f>YEAR(orders[[#This Row],[Order_Date]])</f>
        <v>2023</v>
      </c>
    </row>
    <row r="156" spans="1:11" x14ac:dyDescent="0.3">
      <c r="A156">
        <v>1154</v>
      </c>
      <c r="B156" s="1">
        <v>45081</v>
      </c>
      <c r="C156" t="s">
        <v>23</v>
      </c>
      <c r="D156" t="s">
        <v>19</v>
      </c>
      <c r="E156" t="s">
        <v>24</v>
      </c>
      <c r="F156">
        <v>3180</v>
      </c>
      <c r="G156">
        <v>3646</v>
      </c>
      <c r="H156" t="s">
        <v>18</v>
      </c>
      <c r="I156" s="2">
        <v>-466</v>
      </c>
      <c r="J156" t="str">
        <f>TEXT(orders[[#All],[Order_Date]],"mmm")</f>
        <v>Jun</v>
      </c>
      <c r="K156">
        <f>YEAR(orders[[#This Row],[Order_Date]])</f>
        <v>2023</v>
      </c>
    </row>
    <row r="157" spans="1:11" x14ac:dyDescent="0.3">
      <c r="A157">
        <v>1155</v>
      </c>
      <c r="B157" s="1">
        <v>45082</v>
      </c>
      <c r="C157" t="s">
        <v>13</v>
      </c>
      <c r="D157" t="s">
        <v>19</v>
      </c>
      <c r="E157" t="s">
        <v>11</v>
      </c>
      <c r="F157">
        <v>2550</v>
      </c>
      <c r="G157">
        <v>3700</v>
      </c>
      <c r="H157" t="s">
        <v>18</v>
      </c>
      <c r="I157" s="2">
        <v>-1150</v>
      </c>
      <c r="J157" t="str">
        <f>TEXT(orders[[#All],[Order_Date]],"mmm")</f>
        <v>Jun</v>
      </c>
      <c r="K157">
        <f>YEAR(orders[[#This Row],[Order_Date]])</f>
        <v>2023</v>
      </c>
    </row>
    <row r="158" spans="1:11" x14ac:dyDescent="0.3">
      <c r="A158">
        <v>1156</v>
      </c>
      <c r="B158" s="1">
        <v>45083</v>
      </c>
      <c r="C158" t="s">
        <v>13</v>
      </c>
      <c r="D158" t="s">
        <v>16</v>
      </c>
      <c r="E158" t="s">
        <v>25</v>
      </c>
      <c r="F158">
        <v>1285</v>
      </c>
      <c r="G158">
        <v>3600</v>
      </c>
      <c r="H158" t="s">
        <v>12</v>
      </c>
      <c r="I158" s="2">
        <v>-2315</v>
      </c>
      <c r="J158" t="str">
        <f>TEXT(orders[[#All],[Order_Date]],"mmm")</f>
        <v>Jun</v>
      </c>
      <c r="K158">
        <f>YEAR(orders[[#This Row],[Order_Date]])</f>
        <v>2023</v>
      </c>
    </row>
    <row r="159" spans="1:11" x14ac:dyDescent="0.3">
      <c r="A159">
        <v>1157</v>
      </c>
      <c r="B159" s="1">
        <v>45084</v>
      </c>
      <c r="C159" t="s">
        <v>13</v>
      </c>
      <c r="D159" t="s">
        <v>10</v>
      </c>
      <c r="E159" t="s">
        <v>24</v>
      </c>
      <c r="F159">
        <v>4739</v>
      </c>
      <c r="G159">
        <v>3664</v>
      </c>
      <c r="H159" t="s">
        <v>18</v>
      </c>
      <c r="I159" s="2">
        <v>1075</v>
      </c>
      <c r="J159" t="str">
        <f>TEXT(orders[[#All],[Order_Date]],"mmm")</f>
        <v>Jun</v>
      </c>
      <c r="K159">
        <f>YEAR(orders[[#This Row],[Order_Date]])</f>
        <v>2023</v>
      </c>
    </row>
    <row r="160" spans="1:11" x14ac:dyDescent="0.3">
      <c r="A160">
        <v>1158</v>
      </c>
      <c r="B160" s="1">
        <v>45085</v>
      </c>
      <c r="C160" t="s">
        <v>23</v>
      </c>
      <c r="D160" t="s">
        <v>19</v>
      </c>
      <c r="E160" t="s">
        <v>25</v>
      </c>
      <c r="F160">
        <v>1207</v>
      </c>
      <c r="G160">
        <v>2448</v>
      </c>
      <c r="H160" t="s">
        <v>12</v>
      </c>
      <c r="I160" s="2">
        <v>-1241</v>
      </c>
      <c r="J160" t="str">
        <f>TEXT(orders[[#All],[Order_Date]],"mmm")</f>
        <v>Jun</v>
      </c>
      <c r="K160">
        <f>YEAR(orders[[#This Row],[Order_Date]])</f>
        <v>2023</v>
      </c>
    </row>
    <row r="161" spans="1:11" x14ac:dyDescent="0.3">
      <c r="A161">
        <v>1159</v>
      </c>
      <c r="B161" s="1">
        <v>45086</v>
      </c>
      <c r="C161" t="s">
        <v>15</v>
      </c>
      <c r="D161" t="s">
        <v>19</v>
      </c>
      <c r="E161" t="s">
        <v>25</v>
      </c>
      <c r="F161">
        <v>1865</v>
      </c>
      <c r="G161">
        <v>692</v>
      </c>
      <c r="H161" t="s">
        <v>18</v>
      </c>
      <c r="I161" s="2">
        <v>1173</v>
      </c>
      <c r="J161" t="str">
        <f>TEXT(orders[[#All],[Order_Date]],"mmm")</f>
        <v>Jun</v>
      </c>
      <c r="K161">
        <f>YEAR(orders[[#This Row],[Order_Date]])</f>
        <v>2023</v>
      </c>
    </row>
    <row r="162" spans="1:11" x14ac:dyDescent="0.3">
      <c r="A162">
        <v>1160</v>
      </c>
      <c r="B162" s="1">
        <v>45087</v>
      </c>
      <c r="C162" t="s">
        <v>23</v>
      </c>
      <c r="D162" t="s">
        <v>10</v>
      </c>
      <c r="E162" t="s">
        <v>20</v>
      </c>
      <c r="F162">
        <v>3665</v>
      </c>
      <c r="G162">
        <v>218</v>
      </c>
      <c r="H162" t="s">
        <v>14</v>
      </c>
      <c r="I162" s="2">
        <v>3447</v>
      </c>
      <c r="J162" t="str">
        <f>TEXT(orders[[#All],[Order_Date]],"mmm")</f>
        <v>Jun</v>
      </c>
      <c r="K162">
        <f>YEAR(orders[[#This Row],[Order_Date]])</f>
        <v>2023</v>
      </c>
    </row>
    <row r="163" spans="1:11" x14ac:dyDescent="0.3">
      <c r="A163">
        <v>1161</v>
      </c>
      <c r="B163" s="1">
        <v>45088</v>
      </c>
      <c r="C163" t="s">
        <v>23</v>
      </c>
      <c r="D163" t="s">
        <v>19</v>
      </c>
      <c r="E163" t="s">
        <v>25</v>
      </c>
      <c r="F163">
        <v>1323</v>
      </c>
      <c r="G163">
        <v>1226</v>
      </c>
      <c r="H163" t="s">
        <v>12</v>
      </c>
      <c r="I163" s="2">
        <v>97</v>
      </c>
      <c r="J163" t="str">
        <f>TEXT(orders[[#All],[Order_Date]],"mmm")</f>
        <v>Jun</v>
      </c>
      <c r="K163">
        <f>YEAR(orders[[#This Row],[Order_Date]])</f>
        <v>2023</v>
      </c>
    </row>
    <row r="164" spans="1:11" x14ac:dyDescent="0.3">
      <c r="A164">
        <v>1162</v>
      </c>
      <c r="B164" s="1">
        <v>45089</v>
      </c>
      <c r="C164" t="s">
        <v>13</v>
      </c>
      <c r="D164" t="s">
        <v>16</v>
      </c>
      <c r="E164" t="s">
        <v>20</v>
      </c>
      <c r="F164">
        <v>2725</v>
      </c>
      <c r="G164">
        <v>2445</v>
      </c>
      <c r="H164" t="s">
        <v>21</v>
      </c>
      <c r="I164" s="2">
        <v>280</v>
      </c>
      <c r="J164" t="str">
        <f>TEXT(orders[[#All],[Order_Date]],"mmm")</f>
        <v>Jun</v>
      </c>
      <c r="K164">
        <f>YEAR(orders[[#This Row],[Order_Date]])</f>
        <v>2023</v>
      </c>
    </row>
    <row r="165" spans="1:11" x14ac:dyDescent="0.3">
      <c r="A165">
        <v>1163</v>
      </c>
      <c r="B165" s="1">
        <v>45090</v>
      </c>
      <c r="C165" t="s">
        <v>23</v>
      </c>
      <c r="D165" t="s">
        <v>10</v>
      </c>
      <c r="E165" t="s">
        <v>17</v>
      </c>
      <c r="F165">
        <v>1144</v>
      </c>
      <c r="G165">
        <v>3493</v>
      </c>
      <c r="H165" t="s">
        <v>18</v>
      </c>
      <c r="I165" s="2">
        <v>-2349</v>
      </c>
      <c r="J165" t="str">
        <f>TEXT(orders[[#All],[Order_Date]],"mmm")</f>
        <v>Jun</v>
      </c>
      <c r="K165">
        <f>YEAR(orders[[#This Row],[Order_Date]])</f>
        <v>2023</v>
      </c>
    </row>
    <row r="166" spans="1:11" x14ac:dyDescent="0.3">
      <c r="A166">
        <v>1164</v>
      </c>
      <c r="B166" s="1">
        <v>45091</v>
      </c>
      <c r="C166" t="s">
        <v>13</v>
      </c>
      <c r="D166" t="s">
        <v>19</v>
      </c>
      <c r="E166" t="s">
        <v>24</v>
      </c>
      <c r="F166">
        <v>589</v>
      </c>
      <c r="G166">
        <v>705</v>
      </c>
      <c r="H166" t="s">
        <v>14</v>
      </c>
      <c r="I166" s="2">
        <v>-116</v>
      </c>
      <c r="J166" t="str">
        <f>TEXT(orders[[#All],[Order_Date]],"mmm")</f>
        <v>Jun</v>
      </c>
      <c r="K166">
        <f>YEAR(orders[[#This Row],[Order_Date]])</f>
        <v>2023</v>
      </c>
    </row>
    <row r="167" spans="1:11" x14ac:dyDescent="0.3">
      <c r="A167">
        <v>1165</v>
      </c>
      <c r="B167" s="1">
        <v>45092</v>
      </c>
      <c r="C167" t="s">
        <v>13</v>
      </c>
      <c r="D167" t="s">
        <v>16</v>
      </c>
      <c r="E167" t="s">
        <v>22</v>
      </c>
      <c r="F167">
        <v>2791</v>
      </c>
      <c r="G167">
        <v>1453</v>
      </c>
      <c r="H167" t="s">
        <v>21</v>
      </c>
      <c r="I167" s="2">
        <v>1338</v>
      </c>
      <c r="J167" t="str">
        <f>TEXT(orders[[#All],[Order_Date]],"mmm")</f>
        <v>Jun</v>
      </c>
      <c r="K167">
        <f>YEAR(orders[[#This Row],[Order_Date]])</f>
        <v>2023</v>
      </c>
    </row>
    <row r="168" spans="1:11" x14ac:dyDescent="0.3">
      <c r="A168">
        <v>1166</v>
      </c>
      <c r="B168" s="1">
        <v>45093</v>
      </c>
      <c r="C168" t="s">
        <v>23</v>
      </c>
      <c r="D168" t="s">
        <v>19</v>
      </c>
      <c r="E168" t="s">
        <v>24</v>
      </c>
      <c r="F168">
        <v>4195</v>
      </c>
      <c r="G168">
        <v>1836</v>
      </c>
      <c r="H168" t="s">
        <v>18</v>
      </c>
      <c r="I168" s="2">
        <v>2359</v>
      </c>
      <c r="J168" t="str">
        <f>TEXT(orders[[#All],[Order_Date]],"mmm")</f>
        <v>Jun</v>
      </c>
      <c r="K168">
        <f>YEAR(orders[[#This Row],[Order_Date]])</f>
        <v>2023</v>
      </c>
    </row>
    <row r="169" spans="1:11" x14ac:dyDescent="0.3">
      <c r="A169">
        <v>1167</v>
      </c>
      <c r="B169" s="1">
        <v>45094</v>
      </c>
      <c r="C169" t="s">
        <v>23</v>
      </c>
      <c r="D169" t="s">
        <v>16</v>
      </c>
      <c r="E169" t="s">
        <v>17</v>
      </c>
      <c r="F169">
        <v>3693</v>
      </c>
      <c r="G169">
        <v>562</v>
      </c>
      <c r="H169" t="s">
        <v>18</v>
      </c>
      <c r="I169" s="2">
        <v>3131</v>
      </c>
      <c r="J169" t="str">
        <f>TEXT(orders[[#All],[Order_Date]],"mmm")</f>
        <v>Jun</v>
      </c>
      <c r="K169">
        <f>YEAR(orders[[#This Row],[Order_Date]])</f>
        <v>2023</v>
      </c>
    </row>
    <row r="170" spans="1:11" x14ac:dyDescent="0.3">
      <c r="A170">
        <v>1168</v>
      </c>
      <c r="B170" s="1">
        <v>45095</v>
      </c>
      <c r="C170" t="s">
        <v>13</v>
      </c>
      <c r="D170" t="s">
        <v>19</v>
      </c>
      <c r="E170" t="s">
        <v>24</v>
      </c>
      <c r="F170">
        <v>3156</v>
      </c>
      <c r="G170">
        <v>2405</v>
      </c>
      <c r="H170" t="s">
        <v>26</v>
      </c>
      <c r="I170" s="2">
        <v>751</v>
      </c>
      <c r="J170" t="str">
        <f>TEXT(orders[[#All],[Order_Date]],"mmm")</f>
        <v>Jun</v>
      </c>
      <c r="K170">
        <f>YEAR(orders[[#This Row],[Order_Date]])</f>
        <v>2023</v>
      </c>
    </row>
    <row r="171" spans="1:11" x14ac:dyDescent="0.3">
      <c r="A171">
        <v>1169</v>
      </c>
      <c r="B171" s="1">
        <v>45096</v>
      </c>
      <c r="C171" t="s">
        <v>9</v>
      </c>
      <c r="D171" t="s">
        <v>16</v>
      </c>
      <c r="E171" t="s">
        <v>20</v>
      </c>
      <c r="F171">
        <v>2895</v>
      </c>
      <c r="G171">
        <v>1379</v>
      </c>
      <c r="H171" t="s">
        <v>18</v>
      </c>
      <c r="I171" s="2">
        <v>1516</v>
      </c>
      <c r="J171" t="str">
        <f>TEXT(orders[[#All],[Order_Date]],"mmm")</f>
        <v>Jun</v>
      </c>
      <c r="K171">
        <f>YEAR(orders[[#This Row],[Order_Date]])</f>
        <v>2023</v>
      </c>
    </row>
    <row r="172" spans="1:11" x14ac:dyDescent="0.3">
      <c r="A172">
        <v>1170</v>
      </c>
      <c r="B172" s="1">
        <v>45097</v>
      </c>
      <c r="C172" t="s">
        <v>15</v>
      </c>
      <c r="D172" t="s">
        <v>19</v>
      </c>
      <c r="E172" t="s">
        <v>17</v>
      </c>
      <c r="F172">
        <v>3352</v>
      </c>
      <c r="G172">
        <v>2905</v>
      </c>
      <c r="H172" t="s">
        <v>21</v>
      </c>
      <c r="I172" s="2">
        <v>447</v>
      </c>
      <c r="J172" t="str">
        <f>TEXT(orders[[#All],[Order_Date]],"mmm")</f>
        <v>Jun</v>
      </c>
      <c r="K172">
        <f>YEAR(orders[[#This Row],[Order_Date]])</f>
        <v>2023</v>
      </c>
    </row>
    <row r="173" spans="1:11" x14ac:dyDescent="0.3">
      <c r="A173">
        <v>1171</v>
      </c>
      <c r="B173" s="1">
        <v>45098</v>
      </c>
      <c r="C173" t="s">
        <v>23</v>
      </c>
      <c r="D173" t="s">
        <v>16</v>
      </c>
      <c r="E173" t="s">
        <v>24</v>
      </c>
      <c r="F173">
        <v>1907</v>
      </c>
      <c r="G173">
        <v>642</v>
      </c>
      <c r="H173" t="s">
        <v>21</v>
      </c>
      <c r="I173" s="2">
        <v>1265</v>
      </c>
      <c r="J173" t="str">
        <f>TEXT(orders[[#All],[Order_Date]],"mmm")</f>
        <v>Jun</v>
      </c>
      <c r="K173">
        <f>YEAR(orders[[#This Row],[Order_Date]])</f>
        <v>2023</v>
      </c>
    </row>
    <row r="174" spans="1:11" x14ac:dyDescent="0.3">
      <c r="A174">
        <v>1172</v>
      </c>
      <c r="B174" s="1">
        <v>45099</v>
      </c>
      <c r="C174" t="s">
        <v>13</v>
      </c>
      <c r="D174" t="s">
        <v>16</v>
      </c>
      <c r="E174" t="s">
        <v>24</v>
      </c>
      <c r="F174">
        <v>887</v>
      </c>
      <c r="G174">
        <v>595</v>
      </c>
      <c r="H174" t="s">
        <v>14</v>
      </c>
      <c r="I174" s="2">
        <v>292</v>
      </c>
      <c r="J174" t="str">
        <f>TEXT(orders[[#All],[Order_Date]],"mmm")</f>
        <v>Jun</v>
      </c>
      <c r="K174">
        <f>YEAR(orders[[#This Row],[Order_Date]])</f>
        <v>2023</v>
      </c>
    </row>
    <row r="175" spans="1:11" x14ac:dyDescent="0.3">
      <c r="A175">
        <v>1173</v>
      </c>
      <c r="B175" s="1">
        <v>45100</v>
      </c>
      <c r="C175" t="s">
        <v>23</v>
      </c>
      <c r="D175" t="s">
        <v>16</v>
      </c>
      <c r="E175" t="s">
        <v>20</v>
      </c>
      <c r="F175">
        <v>2182</v>
      </c>
      <c r="G175">
        <v>3577</v>
      </c>
      <c r="H175" t="s">
        <v>26</v>
      </c>
      <c r="I175" s="2">
        <v>-1395</v>
      </c>
      <c r="J175" t="str">
        <f>TEXT(orders[[#All],[Order_Date]],"mmm")</f>
        <v>Jun</v>
      </c>
      <c r="K175">
        <f>YEAR(orders[[#This Row],[Order_Date]])</f>
        <v>2023</v>
      </c>
    </row>
    <row r="176" spans="1:11" x14ac:dyDescent="0.3">
      <c r="A176">
        <v>1174</v>
      </c>
      <c r="B176" s="1">
        <v>45101</v>
      </c>
      <c r="C176" t="s">
        <v>15</v>
      </c>
      <c r="D176" t="s">
        <v>16</v>
      </c>
      <c r="E176" t="s">
        <v>25</v>
      </c>
      <c r="F176">
        <v>705</v>
      </c>
      <c r="G176">
        <v>1552</v>
      </c>
      <c r="H176" t="s">
        <v>14</v>
      </c>
      <c r="I176" s="2">
        <v>-847</v>
      </c>
      <c r="J176" t="str">
        <f>TEXT(orders[[#All],[Order_Date]],"mmm")</f>
        <v>Jun</v>
      </c>
      <c r="K176">
        <f>YEAR(orders[[#This Row],[Order_Date]])</f>
        <v>2023</v>
      </c>
    </row>
    <row r="177" spans="1:11" x14ac:dyDescent="0.3">
      <c r="A177">
        <v>1175</v>
      </c>
      <c r="B177" s="1">
        <v>45102</v>
      </c>
      <c r="C177" t="s">
        <v>23</v>
      </c>
      <c r="D177" t="s">
        <v>10</v>
      </c>
      <c r="E177" t="s">
        <v>11</v>
      </c>
      <c r="F177">
        <v>2599</v>
      </c>
      <c r="G177">
        <v>544</v>
      </c>
      <c r="H177" t="s">
        <v>14</v>
      </c>
      <c r="I177" s="2">
        <v>2055</v>
      </c>
      <c r="J177" t="str">
        <f>TEXT(orders[[#All],[Order_Date]],"mmm")</f>
        <v>Jun</v>
      </c>
      <c r="K177">
        <f>YEAR(orders[[#This Row],[Order_Date]])</f>
        <v>2023</v>
      </c>
    </row>
    <row r="178" spans="1:11" x14ac:dyDescent="0.3">
      <c r="A178">
        <v>1176</v>
      </c>
      <c r="B178" s="1">
        <v>45103</v>
      </c>
      <c r="C178" t="s">
        <v>15</v>
      </c>
      <c r="D178" t="s">
        <v>16</v>
      </c>
      <c r="E178" t="s">
        <v>24</v>
      </c>
      <c r="F178">
        <v>2816</v>
      </c>
      <c r="G178">
        <v>1739</v>
      </c>
      <c r="H178" t="s">
        <v>18</v>
      </c>
      <c r="I178" s="2">
        <v>1077</v>
      </c>
      <c r="J178" t="str">
        <f>TEXT(orders[[#All],[Order_Date]],"mmm")</f>
        <v>Jun</v>
      </c>
      <c r="K178">
        <f>YEAR(orders[[#This Row],[Order_Date]])</f>
        <v>2023</v>
      </c>
    </row>
    <row r="179" spans="1:11" x14ac:dyDescent="0.3">
      <c r="A179">
        <v>1177</v>
      </c>
      <c r="B179" s="1">
        <v>45104</v>
      </c>
      <c r="C179" t="s">
        <v>9</v>
      </c>
      <c r="D179" t="s">
        <v>16</v>
      </c>
      <c r="E179" t="s">
        <v>22</v>
      </c>
      <c r="F179">
        <v>3414</v>
      </c>
      <c r="G179">
        <v>1848</v>
      </c>
      <c r="H179" t="s">
        <v>14</v>
      </c>
      <c r="I179" s="2">
        <v>1566</v>
      </c>
      <c r="J179" t="str">
        <f>TEXT(orders[[#All],[Order_Date]],"mmm")</f>
        <v>Jun</v>
      </c>
      <c r="K179">
        <f>YEAR(orders[[#This Row],[Order_Date]])</f>
        <v>2023</v>
      </c>
    </row>
    <row r="180" spans="1:11" x14ac:dyDescent="0.3">
      <c r="A180">
        <v>1178</v>
      </c>
      <c r="B180" s="1">
        <v>45105</v>
      </c>
      <c r="C180" t="s">
        <v>23</v>
      </c>
      <c r="D180" t="s">
        <v>16</v>
      </c>
      <c r="E180" t="s">
        <v>11</v>
      </c>
      <c r="F180">
        <v>4178</v>
      </c>
      <c r="G180">
        <v>2259</v>
      </c>
      <c r="H180" t="s">
        <v>12</v>
      </c>
      <c r="I180" s="2">
        <v>1919</v>
      </c>
      <c r="J180" t="str">
        <f>TEXT(orders[[#All],[Order_Date]],"mmm")</f>
        <v>Jun</v>
      </c>
      <c r="K180">
        <f>YEAR(orders[[#This Row],[Order_Date]])</f>
        <v>2023</v>
      </c>
    </row>
    <row r="181" spans="1:11" x14ac:dyDescent="0.3">
      <c r="A181">
        <v>1179</v>
      </c>
      <c r="B181" s="1">
        <v>45106</v>
      </c>
      <c r="C181" t="s">
        <v>23</v>
      </c>
      <c r="D181" t="s">
        <v>16</v>
      </c>
      <c r="E181" t="s">
        <v>22</v>
      </c>
      <c r="F181">
        <v>4292</v>
      </c>
      <c r="G181">
        <v>3706</v>
      </c>
      <c r="H181" t="s">
        <v>26</v>
      </c>
      <c r="I181" s="2">
        <v>586</v>
      </c>
      <c r="J181" t="str">
        <f>TEXT(orders[[#All],[Order_Date]],"mmm")</f>
        <v>Jun</v>
      </c>
      <c r="K181">
        <f>YEAR(orders[[#This Row],[Order_Date]])</f>
        <v>2023</v>
      </c>
    </row>
    <row r="182" spans="1:11" x14ac:dyDescent="0.3">
      <c r="A182">
        <v>1180</v>
      </c>
      <c r="B182" s="1">
        <v>45107</v>
      </c>
      <c r="C182" t="s">
        <v>13</v>
      </c>
      <c r="D182" t="s">
        <v>10</v>
      </c>
      <c r="E182" t="s">
        <v>20</v>
      </c>
      <c r="F182">
        <v>2613</v>
      </c>
      <c r="G182">
        <v>3927</v>
      </c>
      <c r="H182" t="s">
        <v>18</v>
      </c>
      <c r="I182" s="2">
        <v>-1314</v>
      </c>
      <c r="J182" t="str">
        <f>TEXT(orders[[#All],[Order_Date]],"mmm")</f>
        <v>Jun</v>
      </c>
      <c r="K182">
        <f>YEAR(orders[[#This Row],[Order_Date]])</f>
        <v>2023</v>
      </c>
    </row>
    <row r="183" spans="1:11" x14ac:dyDescent="0.3">
      <c r="A183">
        <v>1181</v>
      </c>
      <c r="B183" s="1">
        <v>45108</v>
      </c>
      <c r="C183" t="s">
        <v>9</v>
      </c>
      <c r="D183" t="s">
        <v>19</v>
      </c>
      <c r="E183" t="s">
        <v>24</v>
      </c>
      <c r="F183">
        <v>2636</v>
      </c>
      <c r="G183">
        <v>331</v>
      </c>
      <c r="H183" t="s">
        <v>12</v>
      </c>
      <c r="I183" s="2">
        <v>2305</v>
      </c>
      <c r="J183" t="str">
        <f>TEXT(orders[[#All],[Order_Date]],"mmm")</f>
        <v>Jul</v>
      </c>
      <c r="K183">
        <f>YEAR(orders[[#This Row],[Order_Date]])</f>
        <v>2023</v>
      </c>
    </row>
    <row r="184" spans="1:11" x14ac:dyDescent="0.3">
      <c r="A184">
        <v>1182</v>
      </c>
      <c r="B184" s="1">
        <v>45109</v>
      </c>
      <c r="C184" t="s">
        <v>13</v>
      </c>
      <c r="D184" t="s">
        <v>10</v>
      </c>
      <c r="E184" t="s">
        <v>17</v>
      </c>
      <c r="F184">
        <v>665</v>
      </c>
      <c r="G184">
        <v>3244</v>
      </c>
      <c r="H184" t="s">
        <v>21</v>
      </c>
      <c r="I184" s="2">
        <v>-2579</v>
      </c>
      <c r="J184" t="str">
        <f>TEXT(orders[[#All],[Order_Date]],"mmm")</f>
        <v>Jul</v>
      </c>
      <c r="K184">
        <f>YEAR(orders[[#This Row],[Order_Date]])</f>
        <v>2023</v>
      </c>
    </row>
    <row r="185" spans="1:11" x14ac:dyDescent="0.3">
      <c r="A185">
        <v>1183</v>
      </c>
      <c r="B185" s="1">
        <v>45110</v>
      </c>
      <c r="C185" t="s">
        <v>23</v>
      </c>
      <c r="D185" t="s">
        <v>16</v>
      </c>
      <c r="E185" t="s">
        <v>20</v>
      </c>
      <c r="F185">
        <v>934</v>
      </c>
      <c r="G185">
        <v>2180</v>
      </c>
      <c r="H185" t="s">
        <v>26</v>
      </c>
      <c r="I185" s="2">
        <v>-1246</v>
      </c>
      <c r="J185" t="str">
        <f>TEXT(orders[[#All],[Order_Date]],"mmm")</f>
        <v>Jul</v>
      </c>
      <c r="K185">
        <f>YEAR(orders[[#This Row],[Order_Date]])</f>
        <v>2023</v>
      </c>
    </row>
    <row r="186" spans="1:11" x14ac:dyDescent="0.3">
      <c r="A186">
        <v>1184</v>
      </c>
      <c r="B186" s="1">
        <v>45111</v>
      </c>
      <c r="C186" t="s">
        <v>13</v>
      </c>
      <c r="D186" t="s">
        <v>10</v>
      </c>
      <c r="E186" t="s">
        <v>24</v>
      </c>
      <c r="F186">
        <v>2468</v>
      </c>
      <c r="G186">
        <v>2159</v>
      </c>
      <c r="H186" t="s">
        <v>21</v>
      </c>
      <c r="I186" s="2">
        <v>309</v>
      </c>
      <c r="J186" t="str">
        <f>TEXT(orders[[#All],[Order_Date]],"mmm")</f>
        <v>Jul</v>
      </c>
      <c r="K186">
        <f>YEAR(orders[[#This Row],[Order_Date]])</f>
        <v>2023</v>
      </c>
    </row>
    <row r="187" spans="1:11" x14ac:dyDescent="0.3">
      <c r="A187">
        <v>1185</v>
      </c>
      <c r="B187" s="1">
        <v>45112</v>
      </c>
      <c r="C187" t="s">
        <v>9</v>
      </c>
      <c r="D187" t="s">
        <v>10</v>
      </c>
      <c r="E187" t="s">
        <v>25</v>
      </c>
      <c r="F187">
        <v>1728</v>
      </c>
      <c r="G187">
        <v>1734</v>
      </c>
      <c r="H187" t="s">
        <v>21</v>
      </c>
      <c r="I187" s="2">
        <v>-6</v>
      </c>
      <c r="J187" t="str">
        <f>TEXT(orders[[#All],[Order_Date]],"mmm")</f>
        <v>Jul</v>
      </c>
      <c r="K187">
        <f>YEAR(orders[[#This Row],[Order_Date]])</f>
        <v>2023</v>
      </c>
    </row>
    <row r="188" spans="1:11" x14ac:dyDescent="0.3">
      <c r="A188">
        <v>1186</v>
      </c>
      <c r="B188" s="1">
        <v>45113</v>
      </c>
      <c r="C188" t="s">
        <v>9</v>
      </c>
      <c r="D188" t="s">
        <v>16</v>
      </c>
      <c r="E188" t="s">
        <v>17</v>
      </c>
      <c r="F188">
        <v>1528</v>
      </c>
      <c r="G188">
        <v>2205</v>
      </c>
      <c r="H188" t="s">
        <v>18</v>
      </c>
      <c r="I188" s="2">
        <v>-677</v>
      </c>
      <c r="J188" t="str">
        <f>TEXT(orders[[#All],[Order_Date]],"mmm")</f>
        <v>Jul</v>
      </c>
      <c r="K188">
        <f>YEAR(orders[[#This Row],[Order_Date]])</f>
        <v>2023</v>
      </c>
    </row>
    <row r="189" spans="1:11" x14ac:dyDescent="0.3">
      <c r="A189">
        <v>1187</v>
      </c>
      <c r="B189" s="1">
        <v>45114</v>
      </c>
      <c r="C189" t="s">
        <v>23</v>
      </c>
      <c r="D189" t="s">
        <v>19</v>
      </c>
      <c r="E189" t="s">
        <v>22</v>
      </c>
      <c r="F189">
        <v>1698</v>
      </c>
      <c r="G189">
        <v>357</v>
      </c>
      <c r="H189" t="s">
        <v>12</v>
      </c>
      <c r="I189" s="2">
        <v>1341</v>
      </c>
      <c r="J189" t="str">
        <f>TEXT(orders[[#All],[Order_Date]],"mmm")</f>
        <v>Jul</v>
      </c>
      <c r="K189">
        <f>YEAR(orders[[#This Row],[Order_Date]])</f>
        <v>2023</v>
      </c>
    </row>
    <row r="190" spans="1:11" x14ac:dyDescent="0.3">
      <c r="A190">
        <v>1188</v>
      </c>
      <c r="B190" s="1">
        <v>45115</v>
      </c>
      <c r="C190" t="s">
        <v>9</v>
      </c>
      <c r="D190" t="s">
        <v>16</v>
      </c>
      <c r="E190" t="s">
        <v>24</v>
      </c>
      <c r="F190">
        <v>4482</v>
      </c>
      <c r="G190">
        <v>3197</v>
      </c>
      <c r="H190" t="s">
        <v>26</v>
      </c>
      <c r="I190" s="2">
        <v>1285</v>
      </c>
      <c r="J190" t="str">
        <f>TEXT(orders[[#All],[Order_Date]],"mmm")</f>
        <v>Jul</v>
      </c>
      <c r="K190">
        <f>YEAR(orders[[#This Row],[Order_Date]])</f>
        <v>2023</v>
      </c>
    </row>
    <row r="191" spans="1:11" x14ac:dyDescent="0.3">
      <c r="A191">
        <v>1189</v>
      </c>
      <c r="B191" s="1">
        <v>45116</v>
      </c>
      <c r="C191" t="s">
        <v>23</v>
      </c>
      <c r="D191" t="s">
        <v>16</v>
      </c>
      <c r="E191" t="s">
        <v>20</v>
      </c>
      <c r="F191">
        <v>3813</v>
      </c>
      <c r="G191">
        <v>267</v>
      </c>
      <c r="H191" t="s">
        <v>18</v>
      </c>
      <c r="I191" s="2">
        <v>3546</v>
      </c>
      <c r="J191" t="str">
        <f>TEXT(orders[[#All],[Order_Date]],"mmm")</f>
        <v>Jul</v>
      </c>
      <c r="K191">
        <f>YEAR(orders[[#This Row],[Order_Date]])</f>
        <v>2023</v>
      </c>
    </row>
    <row r="192" spans="1:11" x14ac:dyDescent="0.3">
      <c r="A192">
        <v>1190</v>
      </c>
      <c r="B192" s="1">
        <v>45117</v>
      </c>
      <c r="C192" t="s">
        <v>13</v>
      </c>
      <c r="D192" t="s">
        <v>19</v>
      </c>
      <c r="E192" t="s">
        <v>20</v>
      </c>
      <c r="F192">
        <v>3906</v>
      </c>
      <c r="G192">
        <v>1792</v>
      </c>
      <c r="H192" t="s">
        <v>14</v>
      </c>
      <c r="I192" s="2">
        <v>2114</v>
      </c>
      <c r="J192" t="str">
        <f>TEXT(orders[[#All],[Order_Date]],"mmm")</f>
        <v>Jul</v>
      </c>
      <c r="K192">
        <f>YEAR(orders[[#This Row],[Order_Date]])</f>
        <v>2023</v>
      </c>
    </row>
    <row r="193" spans="1:11" x14ac:dyDescent="0.3">
      <c r="A193">
        <v>1191</v>
      </c>
      <c r="B193" s="1">
        <v>45118</v>
      </c>
      <c r="C193" t="s">
        <v>23</v>
      </c>
      <c r="D193" t="s">
        <v>19</v>
      </c>
      <c r="E193" t="s">
        <v>24</v>
      </c>
      <c r="F193">
        <v>4088</v>
      </c>
      <c r="G193">
        <v>2451</v>
      </c>
      <c r="H193" t="s">
        <v>26</v>
      </c>
      <c r="I193" s="2">
        <v>1637</v>
      </c>
      <c r="J193" t="str">
        <f>TEXT(orders[[#All],[Order_Date]],"mmm")</f>
        <v>Jul</v>
      </c>
      <c r="K193">
        <f>YEAR(orders[[#This Row],[Order_Date]])</f>
        <v>2023</v>
      </c>
    </row>
    <row r="194" spans="1:11" x14ac:dyDescent="0.3">
      <c r="A194">
        <v>1192</v>
      </c>
      <c r="B194" s="1">
        <v>45119</v>
      </c>
      <c r="C194" t="s">
        <v>23</v>
      </c>
      <c r="D194" t="s">
        <v>16</v>
      </c>
      <c r="E194" t="s">
        <v>17</v>
      </c>
      <c r="F194">
        <v>1474</v>
      </c>
      <c r="G194">
        <v>3647</v>
      </c>
      <c r="H194" t="s">
        <v>18</v>
      </c>
      <c r="I194" s="2">
        <v>-2173</v>
      </c>
      <c r="J194" t="str">
        <f>TEXT(orders[[#All],[Order_Date]],"mmm")</f>
        <v>Jul</v>
      </c>
      <c r="K194">
        <f>YEAR(orders[[#This Row],[Order_Date]])</f>
        <v>2023</v>
      </c>
    </row>
    <row r="195" spans="1:11" x14ac:dyDescent="0.3">
      <c r="A195">
        <v>1193</v>
      </c>
      <c r="B195" s="1">
        <v>45120</v>
      </c>
      <c r="C195" t="s">
        <v>13</v>
      </c>
      <c r="D195" t="s">
        <v>19</v>
      </c>
      <c r="E195" t="s">
        <v>24</v>
      </c>
      <c r="F195">
        <v>1727</v>
      </c>
      <c r="G195">
        <v>1303</v>
      </c>
      <c r="H195" t="s">
        <v>26</v>
      </c>
      <c r="I195" s="2">
        <v>424</v>
      </c>
      <c r="J195" t="str">
        <f>TEXT(orders[[#All],[Order_Date]],"mmm")</f>
        <v>Jul</v>
      </c>
      <c r="K195">
        <f>YEAR(orders[[#This Row],[Order_Date]])</f>
        <v>2023</v>
      </c>
    </row>
    <row r="196" spans="1:11" x14ac:dyDescent="0.3">
      <c r="A196">
        <v>1194</v>
      </c>
      <c r="B196" s="1">
        <v>45121</v>
      </c>
      <c r="C196" t="s">
        <v>9</v>
      </c>
      <c r="D196" t="s">
        <v>16</v>
      </c>
      <c r="E196" t="s">
        <v>11</v>
      </c>
      <c r="F196">
        <v>3082</v>
      </c>
      <c r="G196">
        <v>2549</v>
      </c>
      <c r="H196" t="s">
        <v>26</v>
      </c>
      <c r="I196" s="2">
        <v>533</v>
      </c>
      <c r="J196" t="str">
        <f>TEXT(orders[[#All],[Order_Date]],"mmm")</f>
        <v>Jul</v>
      </c>
      <c r="K196">
        <f>YEAR(orders[[#This Row],[Order_Date]])</f>
        <v>2023</v>
      </c>
    </row>
    <row r="197" spans="1:11" x14ac:dyDescent="0.3">
      <c r="A197">
        <v>1195</v>
      </c>
      <c r="B197" s="1">
        <v>45122</v>
      </c>
      <c r="C197" t="s">
        <v>9</v>
      </c>
      <c r="D197" t="s">
        <v>19</v>
      </c>
      <c r="E197" t="s">
        <v>22</v>
      </c>
      <c r="F197">
        <v>1992</v>
      </c>
      <c r="G197">
        <v>802</v>
      </c>
      <c r="H197" t="s">
        <v>18</v>
      </c>
      <c r="I197" s="2">
        <v>1190</v>
      </c>
      <c r="J197" t="str">
        <f>TEXT(orders[[#All],[Order_Date]],"mmm")</f>
        <v>Jul</v>
      </c>
      <c r="K197">
        <f>YEAR(orders[[#This Row],[Order_Date]])</f>
        <v>2023</v>
      </c>
    </row>
    <row r="198" spans="1:11" x14ac:dyDescent="0.3">
      <c r="A198">
        <v>1196</v>
      </c>
      <c r="B198" s="1">
        <v>45123</v>
      </c>
      <c r="C198" t="s">
        <v>9</v>
      </c>
      <c r="D198" t="s">
        <v>16</v>
      </c>
      <c r="E198" t="s">
        <v>24</v>
      </c>
      <c r="F198">
        <v>4267</v>
      </c>
      <c r="G198">
        <v>2327</v>
      </c>
      <c r="H198" t="s">
        <v>21</v>
      </c>
      <c r="I198" s="2">
        <v>1940</v>
      </c>
      <c r="J198" t="str">
        <f>TEXT(orders[[#All],[Order_Date]],"mmm")</f>
        <v>Jul</v>
      </c>
      <c r="K198">
        <f>YEAR(orders[[#This Row],[Order_Date]])</f>
        <v>2023</v>
      </c>
    </row>
    <row r="199" spans="1:11" x14ac:dyDescent="0.3">
      <c r="A199">
        <v>1197</v>
      </c>
      <c r="B199" s="1">
        <v>45124</v>
      </c>
      <c r="C199" t="s">
        <v>15</v>
      </c>
      <c r="D199" t="s">
        <v>10</v>
      </c>
      <c r="E199" t="s">
        <v>24</v>
      </c>
      <c r="F199">
        <v>1654</v>
      </c>
      <c r="G199">
        <v>3497</v>
      </c>
      <c r="H199" t="s">
        <v>21</v>
      </c>
      <c r="I199" s="2">
        <v>-1843</v>
      </c>
      <c r="J199" t="str">
        <f>TEXT(orders[[#All],[Order_Date]],"mmm")</f>
        <v>Jul</v>
      </c>
      <c r="K199">
        <f>YEAR(orders[[#This Row],[Order_Date]])</f>
        <v>2023</v>
      </c>
    </row>
    <row r="200" spans="1:11" x14ac:dyDescent="0.3">
      <c r="A200">
        <v>1198</v>
      </c>
      <c r="B200" s="1">
        <v>45125</v>
      </c>
      <c r="C200" t="s">
        <v>23</v>
      </c>
      <c r="D200" t="s">
        <v>19</v>
      </c>
      <c r="E200" t="s">
        <v>17</v>
      </c>
      <c r="F200">
        <v>2161</v>
      </c>
      <c r="G200">
        <v>1235</v>
      </c>
      <c r="H200" t="s">
        <v>18</v>
      </c>
      <c r="I200" s="2">
        <v>926</v>
      </c>
      <c r="J200" t="str">
        <f>TEXT(orders[[#All],[Order_Date]],"mmm")</f>
        <v>Jul</v>
      </c>
      <c r="K200">
        <f>YEAR(orders[[#This Row],[Order_Date]])</f>
        <v>2023</v>
      </c>
    </row>
    <row r="201" spans="1:11" x14ac:dyDescent="0.3">
      <c r="A201">
        <v>1199</v>
      </c>
      <c r="B201" s="1">
        <v>45126</v>
      </c>
      <c r="C201" t="s">
        <v>9</v>
      </c>
      <c r="D201" t="s">
        <v>19</v>
      </c>
      <c r="E201" t="s">
        <v>25</v>
      </c>
      <c r="F201">
        <v>2164</v>
      </c>
      <c r="G201">
        <v>3775</v>
      </c>
      <c r="H201" t="s">
        <v>26</v>
      </c>
      <c r="I201" s="2">
        <v>-1611</v>
      </c>
      <c r="J201" t="str">
        <f>TEXT(orders[[#All],[Order_Date]],"mmm")</f>
        <v>Jul</v>
      </c>
      <c r="K201">
        <f>YEAR(orders[[#This Row],[Order_Date]])</f>
        <v>2023</v>
      </c>
    </row>
    <row r="202" spans="1:11" x14ac:dyDescent="0.3">
      <c r="A202">
        <v>1200</v>
      </c>
      <c r="B202" s="1">
        <v>45127</v>
      </c>
      <c r="C202" t="s">
        <v>15</v>
      </c>
      <c r="D202" t="s">
        <v>16</v>
      </c>
      <c r="E202" t="s">
        <v>20</v>
      </c>
      <c r="F202">
        <v>3923</v>
      </c>
      <c r="G202">
        <v>2381</v>
      </c>
      <c r="H202" t="s">
        <v>21</v>
      </c>
      <c r="I202" s="2">
        <v>1542</v>
      </c>
      <c r="J202" t="str">
        <f>TEXT(orders[[#All],[Order_Date]],"mmm")</f>
        <v>Jul</v>
      </c>
      <c r="K202">
        <f>YEAR(orders[[#This Row],[Order_Date]])</f>
        <v>2023</v>
      </c>
    </row>
    <row r="203" spans="1:11" x14ac:dyDescent="0.3">
      <c r="A203">
        <v>1201</v>
      </c>
      <c r="B203" s="1">
        <v>45128</v>
      </c>
      <c r="C203" t="s">
        <v>23</v>
      </c>
      <c r="D203" t="s">
        <v>16</v>
      </c>
      <c r="E203" t="s">
        <v>22</v>
      </c>
      <c r="F203">
        <v>684</v>
      </c>
      <c r="G203">
        <v>1126</v>
      </c>
      <c r="H203" t="s">
        <v>12</v>
      </c>
      <c r="I203" s="2">
        <v>-442</v>
      </c>
      <c r="J203" t="str">
        <f>TEXT(orders[[#All],[Order_Date]],"mmm")</f>
        <v>Jul</v>
      </c>
      <c r="K203">
        <f>YEAR(orders[[#This Row],[Order_Date]])</f>
        <v>2023</v>
      </c>
    </row>
    <row r="204" spans="1:11" x14ac:dyDescent="0.3">
      <c r="A204">
        <v>1202</v>
      </c>
      <c r="B204" s="1">
        <v>45129</v>
      </c>
      <c r="C204" t="s">
        <v>13</v>
      </c>
      <c r="D204" t="s">
        <v>10</v>
      </c>
      <c r="E204" t="s">
        <v>11</v>
      </c>
      <c r="F204">
        <v>4282</v>
      </c>
      <c r="G204">
        <v>3458</v>
      </c>
      <c r="H204" t="s">
        <v>14</v>
      </c>
      <c r="I204" s="2">
        <v>824</v>
      </c>
      <c r="J204" t="str">
        <f>TEXT(orders[[#All],[Order_Date]],"mmm")</f>
        <v>Jul</v>
      </c>
      <c r="K204">
        <f>YEAR(orders[[#This Row],[Order_Date]])</f>
        <v>2023</v>
      </c>
    </row>
    <row r="205" spans="1:11" x14ac:dyDescent="0.3">
      <c r="A205">
        <v>1203</v>
      </c>
      <c r="B205" s="1">
        <v>45130</v>
      </c>
      <c r="C205" t="s">
        <v>23</v>
      </c>
      <c r="D205" t="s">
        <v>16</v>
      </c>
      <c r="E205" t="s">
        <v>20</v>
      </c>
      <c r="F205">
        <v>2738</v>
      </c>
      <c r="G205">
        <v>1804</v>
      </c>
      <c r="H205" t="s">
        <v>14</v>
      </c>
      <c r="I205" s="2">
        <v>934</v>
      </c>
      <c r="J205" t="str">
        <f>TEXT(orders[[#All],[Order_Date]],"mmm")</f>
        <v>Jul</v>
      </c>
      <c r="K205">
        <f>YEAR(orders[[#This Row],[Order_Date]])</f>
        <v>2023</v>
      </c>
    </row>
    <row r="206" spans="1:11" x14ac:dyDescent="0.3">
      <c r="A206">
        <v>1204</v>
      </c>
      <c r="B206" s="1">
        <v>45131</v>
      </c>
      <c r="C206" t="s">
        <v>23</v>
      </c>
      <c r="D206" t="s">
        <v>19</v>
      </c>
      <c r="E206" t="s">
        <v>11</v>
      </c>
      <c r="F206">
        <v>3265</v>
      </c>
      <c r="G206">
        <v>515</v>
      </c>
      <c r="H206" t="s">
        <v>12</v>
      </c>
      <c r="I206" s="2">
        <v>2750</v>
      </c>
      <c r="J206" t="str">
        <f>TEXT(orders[[#All],[Order_Date]],"mmm")</f>
        <v>Jul</v>
      </c>
      <c r="K206">
        <f>YEAR(orders[[#This Row],[Order_Date]])</f>
        <v>2023</v>
      </c>
    </row>
    <row r="207" spans="1:11" x14ac:dyDescent="0.3">
      <c r="A207">
        <v>1205</v>
      </c>
      <c r="B207" s="1">
        <v>45132</v>
      </c>
      <c r="C207" t="s">
        <v>13</v>
      </c>
      <c r="D207" t="s">
        <v>16</v>
      </c>
      <c r="E207" t="s">
        <v>17</v>
      </c>
      <c r="F207">
        <v>2176</v>
      </c>
      <c r="G207">
        <v>744</v>
      </c>
      <c r="H207" t="s">
        <v>12</v>
      </c>
      <c r="I207" s="2">
        <v>1432</v>
      </c>
      <c r="J207" t="str">
        <f>TEXT(orders[[#All],[Order_Date]],"mmm")</f>
        <v>Jul</v>
      </c>
      <c r="K207">
        <f>YEAR(orders[[#This Row],[Order_Date]])</f>
        <v>2023</v>
      </c>
    </row>
    <row r="208" spans="1:11" x14ac:dyDescent="0.3">
      <c r="A208">
        <v>1206</v>
      </c>
      <c r="B208" s="1">
        <v>45133</v>
      </c>
      <c r="C208" t="s">
        <v>15</v>
      </c>
      <c r="D208" t="s">
        <v>10</v>
      </c>
      <c r="E208" t="s">
        <v>11</v>
      </c>
      <c r="F208">
        <v>793</v>
      </c>
      <c r="G208">
        <v>3443</v>
      </c>
      <c r="H208" t="s">
        <v>12</v>
      </c>
      <c r="I208" s="2">
        <v>-2650</v>
      </c>
      <c r="J208" t="str">
        <f>TEXT(orders[[#All],[Order_Date]],"mmm")</f>
        <v>Jul</v>
      </c>
      <c r="K208">
        <f>YEAR(orders[[#This Row],[Order_Date]])</f>
        <v>2023</v>
      </c>
    </row>
    <row r="209" spans="1:11" x14ac:dyDescent="0.3">
      <c r="A209">
        <v>1207</v>
      </c>
      <c r="B209" s="1">
        <v>45134</v>
      </c>
      <c r="C209" t="s">
        <v>9</v>
      </c>
      <c r="D209" t="s">
        <v>19</v>
      </c>
      <c r="E209" t="s">
        <v>25</v>
      </c>
      <c r="F209">
        <v>4551</v>
      </c>
      <c r="G209">
        <v>837</v>
      </c>
      <c r="H209" t="s">
        <v>26</v>
      </c>
      <c r="I209" s="2">
        <v>3714</v>
      </c>
      <c r="J209" t="str">
        <f>TEXT(orders[[#All],[Order_Date]],"mmm")</f>
        <v>Jul</v>
      </c>
      <c r="K209">
        <f>YEAR(orders[[#This Row],[Order_Date]])</f>
        <v>2023</v>
      </c>
    </row>
    <row r="210" spans="1:11" x14ac:dyDescent="0.3">
      <c r="A210">
        <v>1208</v>
      </c>
      <c r="B210" s="1">
        <v>45135</v>
      </c>
      <c r="C210" t="s">
        <v>9</v>
      </c>
      <c r="D210" t="s">
        <v>16</v>
      </c>
      <c r="E210" t="s">
        <v>24</v>
      </c>
      <c r="F210">
        <v>2863</v>
      </c>
      <c r="G210">
        <v>3588</v>
      </c>
      <c r="H210" t="s">
        <v>21</v>
      </c>
      <c r="I210" s="2">
        <v>-725</v>
      </c>
      <c r="J210" t="str">
        <f>TEXT(orders[[#All],[Order_Date]],"mmm")</f>
        <v>Jul</v>
      </c>
      <c r="K210">
        <f>YEAR(orders[[#This Row],[Order_Date]])</f>
        <v>2023</v>
      </c>
    </row>
    <row r="211" spans="1:11" x14ac:dyDescent="0.3">
      <c r="A211">
        <v>1209</v>
      </c>
      <c r="B211" s="1">
        <v>45136</v>
      </c>
      <c r="C211" t="s">
        <v>9</v>
      </c>
      <c r="D211" t="s">
        <v>10</v>
      </c>
      <c r="E211" t="s">
        <v>22</v>
      </c>
      <c r="F211">
        <v>4935</v>
      </c>
      <c r="G211">
        <v>757</v>
      </c>
      <c r="H211" t="s">
        <v>12</v>
      </c>
      <c r="I211" s="2">
        <v>4178</v>
      </c>
      <c r="J211" t="str">
        <f>TEXT(orders[[#All],[Order_Date]],"mmm")</f>
        <v>Jul</v>
      </c>
      <c r="K211">
        <f>YEAR(orders[[#This Row],[Order_Date]])</f>
        <v>2023</v>
      </c>
    </row>
    <row r="212" spans="1:11" x14ac:dyDescent="0.3">
      <c r="A212">
        <v>1210</v>
      </c>
      <c r="B212" s="1">
        <v>45137</v>
      </c>
      <c r="C212" t="s">
        <v>13</v>
      </c>
      <c r="D212" t="s">
        <v>16</v>
      </c>
      <c r="E212" t="s">
        <v>20</v>
      </c>
      <c r="F212">
        <v>4380</v>
      </c>
      <c r="G212">
        <v>2533</v>
      </c>
      <c r="H212" t="s">
        <v>18</v>
      </c>
      <c r="I212" s="2">
        <v>1847</v>
      </c>
      <c r="J212" t="str">
        <f>TEXT(orders[[#All],[Order_Date]],"mmm")</f>
        <v>Jul</v>
      </c>
      <c r="K212">
        <f>YEAR(orders[[#This Row],[Order_Date]])</f>
        <v>2023</v>
      </c>
    </row>
    <row r="213" spans="1:11" x14ac:dyDescent="0.3">
      <c r="A213">
        <v>1211</v>
      </c>
      <c r="B213" s="1">
        <v>45138</v>
      </c>
      <c r="C213" t="s">
        <v>13</v>
      </c>
      <c r="D213" t="s">
        <v>19</v>
      </c>
      <c r="E213" t="s">
        <v>24</v>
      </c>
      <c r="F213">
        <v>1884</v>
      </c>
      <c r="G213">
        <v>450</v>
      </c>
      <c r="H213" t="s">
        <v>14</v>
      </c>
      <c r="I213" s="2">
        <v>1434</v>
      </c>
      <c r="J213" t="str">
        <f>TEXT(orders[[#All],[Order_Date]],"mmm")</f>
        <v>Jul</v>
      </c>
      <c r="K213">
        <f>YEAR(orders[[#This Row],[Order_Date]])</f>
        <v>2023</v>
      </c>
    </row>
    <row r="214" spans="1:11" x14ac:dyDescent="0.3">
      <c r="A214">
        <v>1212</v>
      </c>
      <c r="B214" s="1">
        <v>45139</v>
      </c>
      <c r="C214" t="s">
        <v>9</v>
      </c>
      <c r="D214" t="s">
        <v>16</v>
      </c>
      <c r="E214" t="s">
        <v>17</v>
      </c>
      <c r="F214">
        <v>4579</v>
      </c>
      <c r="G214">
        <v>1379</v>
      </c>
      <c r="H214" t="s">
        <v>14</v>
      </c>
      <c r="I214" s="2">
        <v>3200</v>
      </c>
      <c r="J214" t="str">
        <f>TEXT(orders[[#All],[Order_Date]],"mmm")</f>
        <v>Aug</v>
      </c>
      <c r="K214">
        <f>YEAR(orders[[#This Row],[Order_Date]])</f>
        <v>2023</v>
      </c>
    </row>
    <row r="215" spans="1:11" x14ac:dyDescent="0.3">
      <c r="A215">
        <v>1213</v>
      </c>
      <c r="B215" s="1">
        <v>45140</v>
      </c>
      <c r="C215" t="s">
        <v>23</v>
      </c>
      <c r="D215" t="s">
        <v>19</v>
      </c>
      <c r="E215" t="s">
        <v>24</v>
      </c>
      <c r="F215">
        <v>4369</v>
      </c>
      <c r="G215">
        <v>995</v>
      </c>
      <c r="H215" t="s">
        <v>12</v>
      </c>
      <c r="I215" s="2">
        <v>3374</v>
      </c>
      <c r="J215" t="str">
        <f>TEXT(orders[[#All],[Order_Date]],"mmm")</f>
        <v>Aug</v>
      </c>
      <c r="K215">
        <f>YEAR(orders[[#This Row],[Order_Date]])</f>
        <v>2023</v>
      </c>
    </row>
    <row r="216" spans="1:11" x14ac:dyDescent="0.3">
      <c r="A216">
        <v>1214</v>
      </c>
      <c r="B216" s="1">
        <v>45141</v>
      </c>
      <c r="C216" t="s">
        <v>23</v>
      </c>
      <c r="D216" t="s">
        <v>10</v>
      </c>
      <c r="E216" t="s">
        <v>25</v>
      </c>
      <c r="F216">
        <v>1576</v>
      </c>
      <c r="G216">
        <v>1253</v>
      </c>
      <c r="H216" t="s">
        <v>21</v>
      </c>
      <c r="I216" s="2">
        <v>323</v>
      </c>
      <c r="J216" t="str">
        <f>TEXT(orders[[#All],[Order_Date]],"mmm")</f>
        <v>Aug</v>
      </c>
      <c r="K216">
        <f>YEAR(orders[[#This Row],[Order_Date]])</f>
        <v>2023</v>
      </c>
    </row>
    <row r="217" spans="1:11" x14ac:dyDescent="0.3">
      <c r="A217">
        <v>1215</v>
      </c>
      <c r="B217" s="1">
        <v>45142</v>
      </c>
      <c r="C217" t="s">
        <v>9</v>
      </c>
      <c r="D217" t="s">
        <v>10</v>
      </c>
      <c r="E217" t="s">
        <v>11</v>
      </c>
      <c r="F217">
        <v>3198</v>
      </c>
      <c r="G217">
        <v>326</v>
      </c>
      <c r="H217" t="s">
        <v>12</v>
      </c>
      <c r="I217" s="2">
        <v>2872</v>
      </c>
      <c r="J217" t="str">
        <f>TEXT(orders[[#All],[Order_Date]],"mmm")</f>
        <v>Aug</v>
      </c>
      <c r="K217">
        <f>YEAR(orders[[#This Row],[Order_Date]])</f>
        <v>2023</v>
      </c>
    </row>
    <row r="218" spans="1:11" x14ac:dyDescent="0.3">
      <c r="A218">
        <v>1216</v>
      </c>
      <c r="B218" s="1">
        <v>45143</v>
      </c>
      <c r="C218" t="s">
        <v>9</v>
      </c>
      <c r="D218" t="s">
        <v>19</v>
      </c>
      <c r="E218" t="s">
        <v>20</v>
      </c>
      <c r="F218">
        <v>4296</v>
      </c>
      <c r="G218">
        <v>2320</v>
      </c>
      <c r="H218" t="s">
        <v>18</v>
      </c>
      <c r="I218" s="2">
        <v>1976</v>
      </c>
      <c r="J218" t="str">
        <f>TEXT(orders[[#All],[Order_Date]],"mmm")</f>
        <v>Aug</v>
      </c>
      <c r="K218">
        <f>YEAR(orders[[#This Row],[Order_Date]])</f>
        <v>2023</v>
      </c>
    </row>
    <row r="219" spans="1:11" x14ac:dyDescent="0.3">
      <c r="A219">
        <v>1217</v>
      </c>
      <c r="B219" s="1">
        <v>45144</v>
      </c>
      <c r="C219" t="s">
        <v>13</v>
      </c>
      <c r="D219" t="s">
        <v>10</v>
      </c>
      <c r="E219" t="s">
        <v>22</v>
      </c>
      <c r="F219">
        <v>1140</v>
      </c>
      <c r="G219">
        <v>1299</v>
      </c>
      <c r="H219" t="s">
        <v>12</v>
      </c>
      <c r="I219" s="2">
        <v>-159</v>
      </c>
      <c r="J219" t="str">
        <f>TEXT(orders[[#All],[Order_Date]],"mmm")</f>
        <v>Aug</v>
      </c>
      <c r="K219">
        <f>YEAR(orders[[#This Row],[Order_Date]])</f>
        <v>2023</v>
      </c>
    </row>
    <row r="220" spans="1:11" x14ac:dyDescent="0.3">
      <c r="A220">
        <v>1218</v>
      </c>
      <c r="B220" s="1">
        <v>45145</v>
      </c>
      <c r="C220" t="s">
        <v>9</v>
      </c>
      <c r="D220" t="s">
        <v>16</v>
      </c>
      <c r="E220" t="s">
        <v>25</v>
      </c>
      <c r="F220">
        <v>4251</v>
      </c>
      <c r="G220">
        <v>2345</v>
      </c>
      <c r="H220" t="s">
        <v>26</v>
      </c>
      <c r="I220" s="2">
        <v>1906</v>
      </c>
      <c r="J220" t="str">
        <f>TEXT(orders[[#All],[Order_Date]],"mmm")</f>
        <v>Aug</v>
      </c>
      <c r="K220">
        <f>YEAR(orders[[#This Row],[Order_Date]])</f>
        <v>2023</v>
      </c>
    </row>
    <row r="221" spans="1:11" x14ac:dyDescent="0.3">
      <c r="A221">
        <v>1219</v>
      </c>
      <c r="B221" s="1">
        <v>45146</v>
      </c>
      <c r="C221" t="s">
        <v>15</v>
      </c>
      <c r="D221" t="s">
        <v>10</v>
      </c>
      <c r="E221" t="s">
        <v>20</v>
      </c>
      <c r="F221">
        <v>4634</v>
      </c>
      <c r="G221">
        <v>3478</v>
      </c>
      <c r="H221" t="s">
        <v>12</v>
      </c>
      <c r="I221" s="2">
        <v>1156</v>
      </c>
      <c r="J221" t="str">
        <f>TEXT(orders[[#All],[Order_Date]],"mmm")</f>
        <v>Aug</v>
      </c>
      <c r="K221">
        <f>YEAR(orders[[#This Row],[Order_Date]])</f>
        <v>2023</v>
      </c>
    </row>
    <row r="222" spans="1:11" x14ac:dyDescent="0.3">
      <c r="A222">
        <v>1220</v>
      </c>
      <c r="B222" s="1">
        <v>45147</v>
      </c>
      <c r="C222" t="s">
        <v>23</v>
      </c>
      <c r="D222" t="s">
        <v>19</v>
      </c>
      <c r="E222" t="s">
        <v>17</v>
      </c>
      <c r="F222">
        <v>2006</v>
      </c>
      <c r="G222">
        <v>3822</v>
      </c>
      <c r="H222" t="s">
        <v>26</v>
      </c>
      <c r="I222" s="2">
        <v>-1816</v>
      </c>
      <c r="J222" t="str">
        <f>TEXT(orders[[#All],[Order_Date]],"mmm")</f>
        <v>Aug</v>
      </c>
      <c r="K222">
        <f>YEAR(orders[[#This Row],[Order_Date]])</f>
        <v>2023</v>
      </c>
    </row>
    <row r="223" spans="1:11" x14ac:dyDescent="0.3">
      <c r="A223">
        <v>1221</v>
      </c>
      <c r="B223" s="1">
        <v>45148</v>
      </c>
      <c r="C223" t="s">
        <v>9</v>
      </c>
      <c r="D223" t="s">
        <v>16</v>
      </c>
      <c r="E223" t="s">
        <v>22</v>
      </c>
      <c r="F223">
        <v>693</v>
      </c>
      <c r="G223">
        <v>3539</v>
      </c>
      <c r="H223" t="s">
        <v>21</v>
      </c>
      <c r="I223" s="2">
        <v>-2846</v>
      </c>
      <c r="J223" t="str">
        <f>TEXT(orders[[#All],[Order_Date]],"mmm")</f>
        <v>Aug</v>
      </c>
      <c r="K223">
        <f>YEAR(orders[[#This Row],[Order_Date]])</f>
        <v>2023</v>
      </c>
    </row>
    <row r="224" spans="1:11" x14ac:dyDescent="0.3">
      <c r="A224">
        <v>1222</v>
      </c>
      <c r="B224" s="1">
        <v>45149</v>
      </c>
      <c r="C224" t="s">
        <v>9</v>
      </c>
      <c r="D224" t="s">
        <v>10</v>
      </c>
      <c r="E224" t="s">
        <v>24</v>
      </c>
      <c r="F224">
        <v>1646</v>
      </c>
      <c r="G224">
        <v>3730</v>
      </c>
      <c r="H224" t="s">
        <v>21</v>
      </c>
      <c r="I224" s="2">
        <v>-2084</v>
      </c>
      <c r="J224" t="str">
        <f>TEXT(orders[[#All],[Order_Date]],"mmm")</f>
        <v>Aug</v>
      </c>
      <c r="K224">
        <f>YEAR(orders[[#This Row],[Order_Date]])</f>
        <v>2023</v>
      </c>
    </row>
    <row r="225" spans="1:11" x14ac:dyDescent="0.3">
      <c r="A225">
        <v>1223</v>
      </c>
      <c r="B225" s="1">
        <v>45150</v>
      </c>
      <c r="C225" t="s">
        <v>13</v>
      </c>
      <c r="D225" t="s">
        <v>16</v>
      </c>
      <c r="E225" t="s">
        <v>17</v>
      </c>
      <c r="F225">
        <v>3237</v>
      </c>
      <c r="G225">
        <v>1982</v>
      </c>
      <c r="H225" t="s">
        <v>18</v>
      </c>
      <c r="I225" s="2">
        <v>1255</v>
      </c>
      <c r="J225" t="str">
        <f>TEXT(orders[[#All],[Order_Date]],"mmm")</f>
        <v>Aug</v>
      </c>
      <c r="K225">
        <f>YEAR(orders[[#This Row],[Order_Date]])</f>
        <v>2023</v>
      </c>
    </row>
    <row r="226" spans="1:11" x14ac:dyDescent="0.3">
      <c r="A226">
        <v>1224</v>
      </c>
      <c r="B226" s="1">
        <v>45151</v>
      </c>
      <c r="C226" t="s">
        <v>15</v>
      </c>
      <c r="D226" t="s">
        <v>10</v>
      </c>
      <c r="E226" t="s">
        <v>24</v>
      </c>
      <c r="F226">
        <v>4827</v>
      </c>
      <c r="G226">
        <v>2280</v>
      </c>
      <c r="H226" t="s">
        <v>21</v>
      </c>
      <c r="I226" s="2">
        <v>2547</v>
      </c>
      <c r="J226" t="str">
        <f>TEXT(orders[[#All],[Order_Date]],"mmm")</f>
        <v>Aug</v>
      </c>
      <c r="K226">
        <f>YEAR(orders[[#This Row],[Order_Date]])</f>
        <v>2023</v>
      </c>
    </row>
    <row r="227" spans="1:11" x14ac:dyDescent="0.3">
      <c r="A227">
        <v>1225</v>
      </c>
      <c r="B227" s="1">
        <v>45152</v>
      </c>
      <c r="C227" t="s">
        <v>13</v>
      </c>
      <c r="D227" t="s">
        <v>10</v>
      </c>
      <c r="E227" t="s">
        <v>25</v>
      </c>
      <c r="F227">
        <v>1845</v>
      </c>
      <c r="G227">
        <v>1914</v>
      </c>
      <c r="H227" t="s">
        <v>26</v>
      </c>
      <c r="I227" s="2">
        <v>-69</v>
      </c>
      <c r="J227" t="str">
        <f>TEXT(orders[[#All],[Order_Date]],"mmm")</f>
        <v>Aug</v>
      </c>
      <c r="K227">
        <f>YEAR(orders[[#This Row],[Order_Date]])</f>
        <v>2023</v>
      </c>
    </row>
    <row r="228" spans="1:11" x14ac:dyDescent="0.3">
      <c r="A228">
        <v>1226</v>
      </c>
      <c r="B228" s="1">
        <v>45153</v>
      </c>
      <c r="C228" t="s">
        <v>9</v>
      </c>
      <c r="D228" t="s">
        <v>19</v>
      </c>
      <c r="E228" t="s">
        <v>20</v>
      </c>
      <c r="F228">
        <v>1865</v>
      </c>
      <c r="G228">
        <v>3312</v>
      </c>
      <c r="H228" t="s">
        <v>21</v>
      </c>
      <c r="I228" s="2">
        <v>-1447</v>
      </c>
      <c r="J228" t="str">
        <f>TEXT(orders[[#All],[Order_Date]],"mmm")</f>
        <v>Aug</v>
      </c>
      <c r="K228">
        <f>YEAR(orders[[#This Row],[Order_Date]])</f>
        <v>2023</v>
      </c>
    </row>
    <row r="229" spans="1:11" x14ac:dyDescent="0.3">
      <c r="A229">
        <v>1227</v>
      </c>
      <c r="B229" s="1">
        <v>45154</v>
      </c>
      <c r="C229" t="s">
        <v>23</v>
      </c>
      <c r="D229" t="s">
        <v>10</v>
      </c>
      <c r="E229" t="s">
        <v>25</v>
      </c>
      <c r="F229">
        <v>2982</v>
      </c>
      <c r="G229">
        <v>1422</v>
      </c>
      <c r="H229" t="s">
        <v>26</v>
      </c>
      <c r="I229" s="2">
        <v>1560</v>
      </c>
      <c r="J229" t="str">
        <f>TEXT(orders[[#All],[Order_Date]],"mmm")</f>
        <v>Aug</v>
      </c>
      <c r="K229">
        <f>YEAR(orders[[#This Row],[Order_Date]])</f>
        <v>2023</v>
      </c>
    </row>
    <row r="230" spans="1:11" x14ac:dyDescent="0.3">
      <c r="A230">
        <v>1228</v>
      </c>
      <c r="B230" s="1">
        <v>45155</v>
      </c>
      <c r="C230" t="s">
        <v>15</v>
      </c>
      <c r="D230" t="s">
        <v>19</v>
      </c>
      <c r="E230" t="s">
        <v>17</v>
      </c>
      <c r="F230">
        <v>1850</v>
      </c>
      <c r="G230">
        <v>2534</v>
      </c>
      <c r="H230" t="s">
        <v>18</v>
      </c>
      <c r="I230" s="2">
        <v>-684</v>
      </c>
      <c r="J230" t="str">
        <f>TEXT(orders[[#All],[Order_Date]],"mmm")</f>
        <v>Aug</v>
      </c>
      <c r="K230">
        <f>YEAR(orders[[#This Row],[Order_Date]])</f>
        <v>2023</v>
      </c>
    </row>
    <row r="231" spans="1:11" x14ac:dyDescent="0.3">
      <c r="A231">
        <v>1229</v>
      </c>
      <c r="B231" s="1">
        <v>45156</v>
      </c>
      <c r="C231" t="s">
        <v>15</v>
      </c>
      <c r="D231" t="s">
        <v>10</v>
      </c>
      <c r="E231" t="s">
        <v>11</v>
      </c>
      <c r="F231">
        <v>3162</v>
      </c>
      <c r="G231">
        <v>1886</v>
      </c>
      <c r="H231" t="s">
        <v>26</v>
      </c>
      <c r="I231" s="2">
        <v>1276</v>
      </c>
      <c r="J231" t="str">
        <f>TEXT(orders[[#All],[Order_Date]],"mmm")</f>
        <v>Aug</v>
      </c>
      <c r="K231">
        <f>YEAR(orders[[#This Row],[Order_Date]])</f>
        <v>2023</v>
      </c>
    </row>
    <row r="232" spans="1:11" x14ac:dyDescent="0.3">
      <c r="A232">
        <v>1230</v>
      </c>
      <c r="B232" s="1">
        <v>45157</v>
      </c>
      <c r="C232" t="s">
        <v>15</v>
      </c>
      <c r="D232" t="s">
        <v>16</v>
      </c>
      <c r="E232" t="s">
        <v>17</v>
      </c>
      <c r="F232">
        <v>2537</v>
      </c>
      <c r="G232">
        <v>1347</v>
      </c>
      <c r="H232" t="s">
        <v>12</v>
      </c>
      <c r="I232" s="2">
        <v>1190</v>
      </c>
      <c r="J232" t="str">
        <f>TEXT(orders[[#All],[Order_Date]],"mmm")</f>
        <v>Aug</v>
      </c>
      <c r="K232">
        <f>YEAR(orders[[#This Row],[Order_Date]])</f>
        <v>2023</v>
      </c>
    </row>
    <row r="233" spans="1:11" x14ac:dyDescent="0.3">
      <c r="A233">
        <v>1231</v>
      </c>
      <c r="B233" s="1">
        <v>45158</v>
      </c>
      <c r="C233" t="s">
        <v>13</v>
      </c>
      <c r="D233" t="s">
        <v>10</v>
      </c>
      <c r="E233" t="s">
        <v>11</v>
      </c>
      <c r="F233">
        <v>984</v>
      </c>
      <c r="G233">
        <v>3859</v>
      </c>
      <c r="H233" t="s">
        <v>21</v>
      </c>
      <c r="I233" s="2">
        <v>-2875</v>
      </c>
      <c r="J233" t="str">
        <f>TEXT(orders[[#All],[Order_Date]],"mmm")</f>
        <v>Aug</v>
      </c>
      <c r="K233">
        <f>YEAR(orders[[#This Row],[Order_Date]])</f>
        <v>2023</v>
      </c>
    </row>
    <row r="234" spans="1:11" x14ac:dyDescent="0.3">
      <c r="A234">
        <v>1232</v>
      </c>
      <c r="B234" s="1">
        <v>45159</v>
      </c>
      <c r="C234" t="s">
        <v>9</v>
      </c>
      <c r="D234" t="s">
        <v>16</v>
      </c>
      <c r="E234" t="s">
        <v>17</v>
      </c>
      <c r="F234">
        <v>2699</v>
      </c>
      <c r="G234">
        <v>1515</v>
      </c>
      <c r="H234" t="s">
        <v>14</v>
      </c>
      <c r="I234" s="2">
        <v>1184</v>
      </c>
      <c r="J234" t="str">
        <f>TEXT(orders[[#All],[Order_Date]],"mmm")</f>
        <v>Aug</v>
      </c>
      <c r="K234">
        <f>YEAR(orders[[#This Row],[Order_Date]])</f>
        <v>2023</v>
      </c>
    </row>
    <row r="235" spans="1:11" x14ac:dyDescent="0.3">
      <c r="A235">
        <v>1233</v>
      </c>
      <c r="B235" s="1">
        <v>45160</v>
      </c>
      <c r="C235" t="s">
        <v>9</v>
      </c>
      <c r="D235" t="s">
        <v>19</v>
      </c>
      <c r="E235" t="s">
        <v>17</v>
      </c>
      <c r="F235">
        <v>2670</v>
      </c>
      <c r="G235">
        <v>668</v>
      </c>
      <c r="H235" t="s">
        <v>12</v>
      </c>
      <c r="I235" s="2">
        <v>2002</v>
      </c>
      <c r="J235" t="str">
        <f>TEXT(orders[[#All],[Order_Date]],"mmm")</f>
        <v>Aug</v>
      </c>
      <c r="K235">
        <f>YEAR(orders[[#This Row],[Order_Date]])</f>
        <v>2023</v>
      </c>
    </row>
    <row r="236" spans="1:11" x14ac:dyDescent="0.3">
      <c r="A236">
        <v>1234</v>
      </c>
      <c r="B236" s="1">
        <v>45161</v>
      </c>
      <c r="C236" t="s">
        <v>9</v>
      </c>
      <c r="D236" t="s">
        <v>10</v>
      </c>
      <c r="E236" t="s">
        <v>22</v>
      </c>
      <c r="F236">
        <v>2630</v>
      </c>
      <c r="G236">
        <v>3212</v>
      </c>
      <c r="H236" t="s">
        <v>26</v>
      </c>
      <c r="I236" s="2">
        <v>-582</v>
      </c>
      <c r="J236" t="str">
        <f>TEXT(orders[[#All],[Order_Date]],"mmm")</f>
        <v>Aug</v>
      </c>
      <c r="K236">
        <f>YEAR(orders[[#This Row],[Order_Date]])</f>
        <v>2023</v>
      </c>
    </row>
    <row r="237" spans="1:11" x14ac:dyDescent="0.3">
      <c r="A237">
        <v>1235</v>
      </c>
      <c r="B237" s="1">
        <v>45162</v>
      </c>
      <c r="C237" t="s">
        <v>15</v>
      </c>
      <c r="D237" t="s">
        <v>16</v>
      </c>
      <c r="E237" t="s">
        <v>11</v>
      </c>
      <c r="F237">
        <v>589</v>
      </c>
      <c r="G237">
        <v>1799</v>
      </c>
      <c r="H237" t="s">
        <v>12</v>
      </c>
      <c r="I237" s="2">
        <v>-1210</v>
      </c>
      <c r="J237" t="str">
        <f>TEXT(orders[[#All],[Order_Date]],"mmm")</f>
        <v>Aug</v>
      </c>
      <c r="K237">
        <f>YEAR(orders[[#This Row],[Order_Date]])</f>
        <v>2023</v>
      </c>
    </row>
    <row r="238" spans="1:11" x14ac:dyDescent="0.3">
      <c r="A238">
        <v>1236</v>
      </c>
      <c r="B238" s="1">
        <v>45163</v>
      </c>
      <c r="C238" t="s">
        <v>15</v>
      </c>
      <c r="D238" t="s">
        <v>10</v>
      </c>
      <c r="E238" t="s">
        <v>11</v>
      </c>
      <c r="F238">
        <v>1250</v>
      </c>
      <c r="G238">
        <v>972</v>
      </c>
      <c r="H238" t="s">
        <v>12</v>
      </c>
      <c r="I238" s="2">
        <v>278</v>
      </c>
      <c r="J238" t="str">
        <f>TEXT(orders[[#All],[Order_Date]],"mmm")</f>
        <v>Aug</v>
      </c>
      <c r="K238">
        <f>YEAR(orders[[#This Row],[Order_Date]])</f>
        <v>2023</v>
      </c>
    </row>
    <row r="239" spans="1:11" x14ac:dyDescent="0.3">
      <c r="A239">
        <v>1237</v>
      </c>
      <c r="B239" s="1">
        <v>45164</v>
      </c>
      <c r="C239" t="s">
        <v>23</v>
      </c>
      <c r="D239" t="s">
        <v>16</v>
      </c>
      <c r="E239" t="s">
        <v>20</v>
      </c>
      <c r="F239">
        <v>3685</v>
      </c>
      <c r="G239">
        <v>889</v>
      </c>
      <c r="H239" t="s">
        <v>12</v>
      </c>
      <c r="I239" s="2">
        <v>2796</v>
      </c>
      <c r="J239" t="str">
        <f>TEXT(orders[[#All],[Order_Date]],"mmm")</f>
        <v>Aug</v>
      </c>
      <c r="K239">
        <f>YEAR(orders[[#This Row],[Order_Date]])</f>
        <v>2023</v>
      </c>
    </row>
    <row r="240" spans="1:11" x14ac:dyDescent="0.3">
      <c r="A240">
        <v>1238</v>
      </c>
      <c r="B240" s="1">
        <v>45165</v>
      </c>
      <c r="C240" t="s">
        <v>15</v>
      </c>
      <c r="D240" t="s">
        <v>10</v>
      </c>
      <c r="E240" t="s">
        <v>25</v>
      </c>
      <c r="F240">
        <v>655</v>
      </c>
      <c r="G240">
        <v>1084</v>
      </c>
      <c r="H240" t="s">
        <v>12</v>
      </c>
      <c r="I240" s="2">
        <v>-429</v>
      </c>
      <c r="J240" t="str">
        <f>TEXT(orders[[#All],[Order_Date]],"mmm")</f>
        <v>Aug</v>
      </c>
      <c r="K240">
        <f>YEAR(orders[[#This Row],[Order_Date]])</f>
        <v>2023</v>
      </c>
    </row>
    <row r="241" spans="1:11" x14ac:dyDescent="0.3">
      <c r="A241">
        <v>1239</v>
      </c>
      <c r="B241" s="1">
        <v>45166</v>
      </c>
      <c r="C241" t="s">
        <v>9</v>
      </c>
      <c r="D241" t="s">
        <v>16</v>
      </c>
      <c r="E241" t="s">
        <v>24</v>
      </c>
      <c r="F241">
        <v>2037</v>
      </c>
      <c r="G241">
        <v>1381</v>
      </c>
      <c r="H241" t="s">
        <v>26</v>
      </c>
      <c r="I241" s="2">
        <v>656</v>
      </c>
      <c r="J241" t="str">
        <f>TEXT(orders[[#All],[Order_Date]],"mmm")</f>
        <v>Aug</v>
      </c>
      <c r="K241">
        <f>YEAR(orders[[#This Row],[Order_Date]])</f>
        <v>2023</v>
      </c>
    </row>
    <row r="242" spans="1:11" x14ac:dyDescent="0.3">
      <c r="A242">
        <v>1240</v>
      </c>
      <c r="B242" s="1">
        <v>45167</v>
      </c>
      <c r="C242" t="s">
        <v>9</v>
      </c>
      <c r="D242" t="s">
        <v>16</v>
      </c>
      <c r="E242" t="s">
        <v>25</v>
      </c>
      <c r="F242">
        <v>2813</v>
      </c>
      <c r="G242">
        <v>1927</v>
      </c>
      <c r="H242" t="s">
        <v>21</v>
      </c>
      <c r="I242" s="2">
        <v>886</v>
      </c>
      <c r="J242" t="str">
        <f>TEXT(orders[[#All],[Order_Date]],"mmm")</f>
        <v>Aug</v>
      </c>
      <c r="K242">
        <f>YEAR(orders[[#This Row],[Order_Date]])</f>
        <v>2023</v>
      </c>
    </row>
    <row r="243" spans="1:11" x14ac:dyDescent="0.3">
      <c r="A243">
        <v>1241</v>
      </c>
      <c r="B243" s="1">
        <v>45168</v>
      </c>
      <c r="C243" t="s">
        <v>15</v>
      </c>
      <c r="D243" t="s">
        <v>10</v>
      </c>
      <c r="E243" t="s">
        <v>11</v>
      </c>
      <c r="F243">
        <v>4711</v>
      </c>
      <c r="G243">
        <v>3077</v>
      </c>
      <c r="H243" t="s">
        <v>21</v>
      </c>
      <c r="I243" s="2">
        <v>1634</v>
      </c>
      <c r="J243" t="str">
        <f>TEXT(orders[[#All],[Order_Date]],"mmm")</f>
        <v>Aug</v>
      </c>
      <c r="K243">
        <f>YEAR(orders[[#This Row],[Order_Date]])</f>
        <v>2023</v>
      </c>
    </row>
    <row r="244" spans="1:11" x14ac:dyDescent="0.3">
      <c r="A244">
        <v>1242</v>
      </c>
      <c r="B244" s="1">
        <v>45169</v>
      </c>
      <c r="C244" t="s">
        <v>23</v>
      </c>
      <c r="D244" t="s">
        <v>10</v>
      </c>
      <c r="E244" t="s">
        <v>22</v>
      </c>
      <c r="F244">
        <v>2373</v>
      </c>
      <c r="G244">
        <v>803</v>
      </c>
      <c r="H244" t="s">
        <v>12</v>
      </c>
      <c r="I244" s="2">
        <v>1570</v>
      </c>
      <c r="J244" t="str">
        <f>TEXT(orders[[#All],[Order_Date]],"mmm")</f>
        <v>Aug</v>
      </c>
      <c r="K244">
        <f>YEAR(orders[[#This Row],[Order_Date]])</f>
        <v>2023</v>
      </c>
    </row>
    <row r="245" spans="1:11" x14ac:dyDescent="0.3">
      <c r="A245">
        <v>1243</v>
      </c>
      <c r="B245" s="1">
        <v>45170</v>
      </c>
      <c r="C245" t="s">
        <v>15</v>
      </c>
      <c r="D245" t="s">
        <v>16</v>
      </c>
      <c r="E245" t="s">
        <v>11</v>
      </c>
      <c r="F245">
        <v>4991</v>
      </c>
      <c r="G245">
        <v>3895</v>
      </c>
      <c r="H245" t="s">
        <v>14</v>
      </c>
      <c r="I245" s="2">
        <v>1096</v>
      </c>
      <c r="J245" t="str">
        <f>TEXT(orders[[#All],[Order_Date]],"mmm")</f>
        <v>Sep</v>
      </c>
      <c r="K245">
        <f>YEAR(orders[[#This Row],[Order_Date]])</f>
        <v>2023</v>
      </c>
    </row>
    <row r="246" spans="1:11" x14ac:dyDescent="0.3">
      <c r="A246">
        <v>1244</v>
      </c>
      <c r="B246" s="1">
        <v>45171</v>
      </c>
      <c r="C246" t="s">
        <v>15</v>
      </c>
      <c r="D246" t="s">
        <v>19</v>
      </c>
      <c r="E246" t="s">
        <v>20</v>
      </c>
      <c r="F246">
        <v>2795</v>
      </c>
      <c r="G246">
        <v>3483</v>
      </c>
      <c r="H246" t="s">
        <v>21</v>
      </c>
      <c r="I246" s="2">
        <v>-688</v>
      </c>
      <c r="J246" t="str">
        <f>TEXT(orders[[#All],[Order_Date]],"mmm")</f>
        <v>Sep</v>
      </c>
      <c r="K246">
        <f>YEAR(orders[[#This Row],[Order_Date]])</f>
        <v>2023</v>
      </c>
    </row>
    <row r="247" spans="1:11" x14ac:dyDescent="0.3">
      <c r="A247">
        <v>1245</v>
      </c>
      <c r="B247" s="1">
        <v>45172</v>
      </c>
      <c r="C247" t="s">
        <v>13</v>
      </c>
      <c r="D247" t="s">
        <v>19</v>
      </c>
      <c r="E247" t="s">
        <v>24</v>
      </c>
      <c r="F247">
        <v>4077</v>
      </c>
      <c r="G247">
        <v>560</v>
      </c>
      <c r="H247" t="s">
        <v>26</v>
      </c>
      <c r="I247" s="2">
        <v>3517</v>
      </c>
      <c r="J247" t="str">
        <f>TEXT(orders[[#All],[Order_Date]],"mmm")</f>
        <v>Sep</v>
      </c>
      <c r="K247">
        <f>YEAR(orders[[#This Row],[Order_Date]])</f>
        <v>2023</v>
      </c>
    </row>
    <row r="248" spans="1:11" x14ac:dyDescent="0.3">
      <c r="A248">
        <v>1246</v>
      </c>
      <c r="B248" s="1">
        <v>45173</v>
      </c>
      <c r="C248" t="s">
        <v>15</v>
      </c>
      <c r="D248" t="s">
        <v>19</v>
      </c>
      <c r="E248" t="s">
        <v>24</v>
      </c>
      <c r="F248">
        <v>554</v>
      </c>
      <c r="G248">
        <v>2338</v>
      </c>
      <c r="H248" t="s">
        <v>26</v>
      </c>
      <c r="I248" s="2">
        <v>-1784</v>
      </c>
      <c r="J248" t="str">
        <f>TEXT(orders[[#All],[Order_Date]],"mmm")</f>
        <v>Sep</v>
      </c>
      <c r="K248">
        <f>YEAR(orders[[#This Row],[Order_Date]])</f>
        <v>2023</v>
      </c>
    </row>
    <row r="249" spans="1:11" x14ac:dyDescent="0.3">
      <c r="A249">
        <v>1247</v>
      </c>
      <c r="B249" s="1">
        <v>45174</v>
      </c>
      <c r="C249" t="s">
        <v>9</v>
      </c>
      <c r="D249" t="s">
        <v>19</v>
      </c>
      <c r="E249" t="s">
        <v>17</v>
      </c>
      <c r="F249">
        <v>1816</v>
      </c>
      <c r="G249">
        <v>3810</v>
      </c>
      <c r="H249" t="s">
        <v>21</v>
      </c>
      <c r="I249" s="2">
        <v>-1994</v>
      </c>
      <c r="J249" t="str">
        <f>TEXT(orders[[#All],[Order_Date]],"mmm")</f>
        <v>Sep</v>
      </c>
      <c r="K249">
        <f>YEAR(orders[[#This Row],[Order_Date]])</f>
        <v>2023</v>
      </c>
    </row>
    <row r="250" spans="1:11" x14ac:dyDescent="0.3">
      <c r="A250">
        <v>1248</v>
      </c>
      <c r="B250" s="1">
        <v>45175</v>
      </c>
      <c r="C250" t="s">
        <v>9</v>
      </c>
      <c r="D250" t="s">
        <v>10</v>
      </c>
      <c r="E250" t="s">
        <v>22</v>
      </c>
      <c r="F250">
        <v>3698</v>
      </c>
      <c r="G250">
        <v>785</v>
      </c>
      <c r="H250" t="s">
        <v>26</v>
      </c>
      <c r="I250" s="2">
        <v>2913</v>
      </c>
      <c r="J250" t="str">
        <f>TEXT(orders[[#All],[Order_Date]],"mmm")</f>
        <v>Sep</v>
      </c>
      <c r="K250">
        <f>YEAR(orders[[#This Row],[Order_Date]])</f>
        <v>2023</v>
      </c>
    </row>
    <row r="251" spans="1:11" x14ac:dyDescent="0.3">
      <c r="A251">
        <v>1249</v>
      </c>
      <c r="B251" s="1">
        <v>45176</v>
      </c>
      <c r="C251" t="s">
        <v>9</v>
      </c>
      <c r="D251" t="s">
        <v>16</v>
      </c>
      <c r="E251" t="s">
        <v>20</v>
      </c>
      <c r="F251">
        <v>519</v>
      </c>
      <c r="G251">
        <v>2170</v>
      </c>
      <c r="H251" t="s">
        <v>26</v>
      </c>
      <c r="I251" s="2">
        <v>-1651</v>
      </c>
      <c r="J251" t="str">
        <f>TEXT(orders[[#All],[Order_Date]],"mmm")</f>
        <v>Sep</v>
      </c>
      <c r="K251">
        <f>YEAR(orders[[#This Row],[Order_Date]])</f>
        <v>2023</v>
      </c>
    </row>
    <row r="252" spans="1:11" x14ac:dyDescent="0.3">
      <c r="A252">
        <v>1250</v>
      </c>
      <c r="B252" s="1">
        <v>45177</v>
      </c>
      <c r="C252" t="s">
        <v>13</v>
      </c>
      <c r="D252" t="s">
        <v>19</v>
      </c>
      <c r="E252" t="s">
        <v>25</v>
      </c>
      <c r="F252">
        <v>1507</v>
      </c>
      <c r="G252">
        <v>2471</v>
      </c>
      <c r="H252" t="s">
        <v>18</v>
      </c>
      <c r="I252" s="2">
        <v>-964</v>
      </c>
      <c r="J252" t="str">
        <f>TEXT(orders[[#All],[Order_Date]],"mmm")</f>
        <v>Sep</v>
      </c>
      <c r="K252">
        <f>YEAR(orders[[#This Row],[Order_Date]])</f>
        <v>2023</v>
      </c>
    </row>
    <row r="253" spans="1:11" x14ac:dyDescent="0.3">
      <c r="A253">
        <v>1251</v>
      </c>
      <c r="B253" s="1">
        <v>45178</v>
      </c>
      <c r="C253" t="s">
        <v>13</v>
      </c>
      <c r="D253" t="s">
        <v>19</v>
      </c>
      <c r="E253" t="s">
        <v>22</v>
      </c>
      <c r="F253">
        <v>4281</v>
      </c>
      <c r="G253">
        <v>2009</v>
      </c>
      <c r="H253" t="s">
        <v>26</v>
      </c>
      <c r="I253" s="2">
        <v>2272</v>
      </c>
      <c r="J253" t="str">
        <f>TEXT(orders[[#All],[Order_Date]],"mmm")</f>
        <v>Sep</v>
      </c>
      <c r="K253">
        <f>YEAR(orders[[#This Row],[Order_Date]])</f>
        <v>2023</v>
      </c>
    </row>
    <row r="254" spans="1:11" x14ac:dyDescent="0.3">
      <c r="A254">
        <v>1252</v>
      </c>
      <c r="B254" s="1">
        <v>45179</v>
      </c>
      <c r="C254" t="s">
        <v>15</v>
      </c>
      <c r="D254" t="s">
        <v>19</v>
      </c>
      <c r="E254" t="s">
        <v>17</v>
      </c>
      <c r="F254">
        <v>708</v>
      </c>
      <c r="G254">
        <v>1935</v>
      </c>
      <c r="H254" t="s">
        <v>21</v>
      </c>
      <c r="I254" s="2">
        <v>-1227</v>
      </c>
      <c r="J254" t="str">
        <f>TEXT(orders[[#All],[Order_Date]],"mmm")</f>
        <v>Sep</v>
      </c>
      <c r="K254">
        <f>YEAR(orders[[#This Row],[Order_Date]])</f>
        <v>2023</v>
      </c>
    </row>
    <row r="255" spans="1:11" x14ac:dyDescent="0.3">
      <c r="A255">
        <v>1253</v>
      </c>
      <c r="B255" s="1">
        <v>45180</v>
      </c>
      <c r="C255" t="s">
        <v>23</v>
      </c>
      <c r="D255" t="s">
        <v>19</v>
      </c>
      <c r="E255" t="s">
        <v>11</v>
      </c>
      <c r="F255">
        <v>3204</v>
      </c>
      <c r="G255">
        <v>3259</v>
      </c>
      <c r="H255" t="s">
        <v>21</v>
      </c>
      <c r="I255" s="2">
        <v>-55</v>
      </c>
      <c r="J255" t="str">
        <f>TEXT(orders[[#All],[Order_Date]],"mmm")</f>
        <v>Sep</v>
      </c>
      <c r="K255">
        <f>YEAR(orders[[#This Row],[Order_Date]])</f>
        <v>2023</v>
      </c>
    </row>
    <row r="256" spans="1:11" x14ac:dyDescent="0.3">
      <c r="A256">
        <v>1254</v>
      </c>
      <c r="B256" s="1">
        <v>45181</v>
      </c>
      <c r="C256" t="s">
        <v>15</v>
      </c>
      <c r="D256" t="s">
        <v>16</v>
      </c>
      <c r="E256" t="s">
        <v>20</v>
      </c>
      <c r="F256">
        <v>2733</v>
      </c>
      <c r="G256">
        <v>3051</v>
      </c>
      <c r="H256" t="s">
        <v>14</v>
      </c>
      <c r="I256" s="2">
        <v>-318</v>
      </c>
      <c r="J256" t="str">
        <f>TEXT(orders[[#All],[Order_Date]],"mmm")</f>
        <v>Sep</v>
      </c>
      <c r="K256">
        <f>YEAR(orders[[#This Row],[Order_Date]])</f>
        <v>2023</v>
      </c>
    </row>
    <row r="257" spans="1:11" x14ac:dyDescent="0.3">
      <c r="A257">
        <v>1255</v>
      </c>
      <c r="B257" s="1">
        <v>45182</v>
      </c>
      <c r="C257" t="s">
        <v>13</v>
      </c>
      <c r="D257" t="s">
        <v>10</v>
      </c>
      <c r="E257" t="s">
        <v>24</v>
      </c>
      <c r="F257">
        <v>2644</v>
      </c>
      <c r="G257">
        <v>401</v>
      </c>
      <c r="H257" t="s">
        <v>12</v>
      </c>
      <c r="I257" s="2">
        <v>2243</v>
      </c>
      <c r="J257" t="str">
        <f>TEXT(orders[[#All],[Order_Date]],"mmm")</f>
        <v>Sep</v>
      </c>
      <c r="K257">
        <f>YEAR(orders[[#This Row],[Order_Date]])</f>
        <v>2023</v>
      </c>
    </row>
    <row r="258" spans="1:11" x14ac:dyDescent="0.3">
      <c r="A258">
        <v>1256</v>
      </c>
      <c r="B258" s="1">
        <v>45183</v>
      </c>
      <c r="C258" t="s">
        <v>15</v>
      </c>
      <c r="D258" t="s">
        <v>16</v>
      </c>
      <c r="E258" t="s">
        <v>11</v>
      </c>
      <c r="F258">
        <v>2826</v>
      </c>
      <c r="G258">
        <v>1956</v>
      </c>
      <c r="H258" t="s">
        <v>21</v>
      </c>
      <c r="I258" s="2">
        <v>870</v>
      </c>
      <c r="J258" t="str">
        <f>TEXT(orders[[#All],[Order_Date]],"mmm")</f>
        <v>Sep</v>
      </c>
      <c r="K258">
        <f>YEAR(orders[[#This Row],[Order_Date]])</f>
        <v>2023</v>
      </c>
    </row>
    <row r="259" spans="1:11" x14ac:dyDescent="0.3">
      <c r="A259">
        <v>1257</v>
      </c>
      <c r="B259" s="1">
        <v>45184</v>
      </c>
      <c r="C259" t="s">
        <v>13</v>
      </c>
      <c r="D259" t="s">
        <v>19</v>
      </c>
      <c r="E259" t="s">
        <v>11</v>
      </c>
      <c r="F259">
        <v>1916</v>
      </c>
      <c r="G259">
        <v>2296</v>
      </c>
      <c r="H259" t="s">
        <v>26</v>
      </c>
      <c r="I259" s="2">
        <v>-380</v>
      </c>
      <c r="J259" t="str">
        <f>TEXT(orders[[#All],[Order_Date]],"mmm")</f>
        <v>Sep</v>
      </c>
      <c r="K259">
        <f>YEAR(orders[[#This Row],[Order_Date]])</f>
        <v>2023</v>
      </c>
    </row>
    <row r="260" spans="1:11" x14ac:dyDescent="0.3">
      <c r="A260">
        <v>1258</v>
      </c>
      <c r="B260" s="1">
        <v>45185</v>
      </c>
      <c r="C260" t="s">
        <v>9</v>
      </c>
      <c r="D260" t="s">
        <v>19</v>
      </c>
      <c r="E260" t="s">
        <v>17</v>
      </c>
      <c r="F260">
        <v>2384</v>
      </c>
      <c r="G260">
        <v>575</v>
      </c>
      <c r="H260" t="s">
        <v>14</v>
      </c>
      <c r="I260" s="2">
        <v>1809</v>
      </c>
      <c r="J260" t="str">
        <f>TEXT(orders[[#All],[Order_Date]],"mmm")</f>
        <v>Sep</v>
      </c>
      <c r="K260">
        <f>YEAR(orders[[#This Row],[Order_Date]])</f>
        <v>2023</v>
      </c>
    </row>
    <row r="261" spans="1:11" x14ac:dyDescent="0.3">
      <c r="A261">
        <v>1259</v>
      </c>
      <c r="B261" s="1">
        <v>45186</v>
      </c>
      <c r="C261" t="s">
        <v>9</v>
      </c>
      <c r="D261" t="s">
        <v>19</v>
      </c>
      <c r="E261" t="s">
        <v>25</v>
      </c>
      <c r="F261">
        <v>1693</v>
      </c>
      <c r="G261">
        <v>3215</v>
      </c>
      <c r="H261" t="s">
        <v>18</v>
      </c>
      <c r="I261" s="2">
        <v>-1522</v>
      </c>
      <c r="J261" t="str">
        <f>TEXT(orders[[#All],[Order_Date]],"mmm")</f>
        <v>Sep</v>
      </c>
      <c r="K261">
        <f>YEAR(orders[[#This Row],[Order_Date]])</f>
        <v>2023</v>
      </c>
    </row>
    <row r="262" spans="1:11" x14ac:dyDescent="0.3">
      <c r="A262">
        <v>1260</v>
      </c>
      <c r="B262" s="1">
        <v>45187</v>
      </c>
      <c r="C262" t="s">
        <v>13</v>
      </c>
      <c r="D262" t="s">
        <v>19</v>
      </c>
      <c r="E262" t="s">
        <v>11</v>
      </c>
      <c r="F262">
        <v>2366</v>
      </c>
      <c r="G262">
        <v>2877</v>
      </c>
      <c r="H262" t="s">
        <v>14</v>
      </c>
      <c r="I262" s="2">
        <v>-511</v>
      </c>
      <c r="J262" t="str">
        <f>TEXT(orders[[#All],[Order_Date]],"mmm")</f>
        <v>Sep</v>
      </c>
      <c r="K262">
        <f>YEAR(orders[[#This Row],[Order_Date]])</f>
        <v>2023</v>
      </c>
    </row>
    <row r="263" spans="1:11" x14ac:dyDescent="0.3">
      <c r="A263">
        <v>1261</v>
      </c>
      <c r="B263" s="1">
        <v>45188</v>
      </c>
      <c r="C263" t="s">
        <v>15</v>
      </c>
      <c r="D263" t="s">
        <v>16</v>
      </c>
      <c r="E263" t="s">
        <v>24</v>
      </c>
      <c r="F263">
        <v>602</v>
      </c>
      <c r="G263">
        <v>2827</v>
      </c>
      <c r="H263" t="s">
        <v>26</v>
      </c>
      <c r="I263" s="2">
        <v>-2225</v>
      </c>
      <c r="J263" t="str">
        <f>TEXT(orders[[#All],[Order_Date]],"mmm")</f>
        <v>Sep</v>
      </c>
      <c r="K263">
        <f>YEAR(orders[[#This Row],[Order_Date]])</f>
        <v>2023</v>
      </c>
    </row>
    <row r="264" spans="1:11" x14ac:dyDescent="0.3">
      <c r="A264">
        <v>1262</v>
      </c>
      <c r="B264" s="1">
        <v>45189</v>
      </c>
      <c r="C264" t="s">
        <v>23</v>
      </c>
      <c r="D264" t="s">
        <v>10</v>
      </c>
      <c r="E264" t="s">
        <v>24</v>
      </c>
      <c r="F264">
        <v>2128</v>
      </c>
      <c r="G264">
        <v>3907</v>
      </c>
      <c r="H264" t="s">
        <v>21</v>
      </c>
      <c r="I264" s="2">
        <v>-1779</v>
      </c>
      <c r="J264" t="str">
        <f>TEXT(orders[[#All],[Order_Date]],"mmm")</f>
        <v>Sep</v>
      </c>
      <c r="K264">
        <f>YEAR(orders[[#This Row],[Order_Date]])</f>
        <v>2023</v>
      </c>
    </row>
    <row r="265" spans="1:11" x14ac:dyDescent="0.3">
      <c r="A265">
        <v>1263</v>
      </c>
      <c r="B265" s="1">
        <v>45190</v>
      </c>
      <c r="C265" t="s">
        <v>9</v>
      </c>
      <c r="D265" t="s">
        <v>19</v>
      </c>
      <c r="E265" t="s">
        <v>25</v>
      </c>
      <c r="F265">
        <v>2656</v>
      </c>
      <c r="G265">
        <v>3983</v>
      </c>
      <c r="H265" t="s">
        <v>14</v>
      </c>
      <c r="I265" s="2">
        <v>-1327</v>
      </c>
      <c r="J265" t="str">
        <f>TEXT(orders[[#All],[Order_Date]],"mmm")</f>
        <v>Sep</v>
      </c>
      <c r="K265">
        <f>YEAR(orders[[#This Row],[Order_Date]])</f>
        <v>2023</v>
      </c>
    </row>
    <row r="266" spans="1:11" x14ac:dyDescent="0.3">
      <c r="A266">
        <v>1264</v>
      </c>
      <c r="B266" s="1">
        <v>45191</v>
      </c>
      <c r="C266" t="s">
        <v>23</v>
      </c>
      <c r="D266" t="s">
        <v>16</v>
      </c>
      <c r="E266" t="s">
        <v>25</v>
      </c>
      <c r="F266">
        <v>1407</v>
      </c>
      <c r="G266">
        <v>2566</v>
      </c>
      <c r="H266" t="s">
        <v>26</v>
      </c>
      <c r="I266" s="2">
        <v>-1159</v>
      </c>
      <c r="J266" t="str">
        <f>TEXT(orders[[#All],[Order_Date]],"mmm")</f>
        <v>Sep</v>
      </c>
      <c r="K266">
        <f>YEAR(orders[[#This Row],[Order_Date]])</f>
        <v>2023</v>
      </c>
    </row>
    <row r="267" spans="1:11" x14ac:dyDescent="0.3">
      <c r="A267">
        <v>1265</v>
      </c>
      <c r="B267" s="1">
        <v>45192</v>
      </c>
      <c r="C267" t="s">
        <v>13</v>
      </c>
      <c r="D267" t="s">
        <v>19</v>
      </c>
      <c r="E267" t="s">
        <v>17</v>
      </c>
      <c r="F267">
        <v>591</v>
      </c>
      <c r="G267">
        <v>3216</v>
      </c>
      <c r="H267" t="s">
        <v>18</v>
      </c>
      <c r="I267" s="2">
        <v>-2625</v>
      </c>
      <c r="J267" t="str">
        <f>TEXT(orders[[#All],[Order_Date]],"mmm")</f>
        <v>Sep</v>
      </c>
      <c r="K267">
        <f>YEAR(orders[[#This Row],[Order_Date]])</f>
        <v>2023</v>
      </c>
    </row>
    <row r="268" spans="1:11" x14ac:dyDescent="0.3">
      <c r="A268">
        <v>1266</v>
      </c>
      <c r="B268" s="1">
        <v>45193</v>
      </c>
      <c r="C268" t="s">
        <v>13</v>
      </c>
      <c r="D268" t="s">
        <v>19</v>
      </c>
      <c r="E268" t="s">
        <v>22</v>
      </c>
      <c r="F268">
        <v>2341</v>
      </c>
      <c r="G268">
        <v>2541</v>
      </c>
      <c r="H268" t="s">
        <v>14</v>
      </c>
      <c r="I268" s="2">
        <v>-200</v>
      </c>
      <c r="J268" t="str">
        <f>TEXT(orders[[#All],[Order_Date]],"mmm")</f>
        <v>Sep</v>
      </c>
      <c r="K268">
        <f>YEAR(orders[[#This Row],[Order_Date]])</f>
        <v>2023</v>
      </c>
    </row>
    <row r="269" spans="1:11" x14ac:dyDescent="0.3">
      <c r="A269">
        <v>1267</v>
      </c>
      <c r="B269" s="1">
        <v>45194</v>
      </c>
      <c r="C269" t="s">
        <v>23</v>
      </c>
      <c r="D269" t="s">
        <v>19</v>
      </c>
      <c r="E269" t="s">
        <v>24</v>
      </c>
      <c r="F269">
        <v>1947</v>
      </c>
      <c r="G269">
        <v>3277</v>
      </c>
      <c r="H269" t="s">
        <v>26</v>
      </c>
      <c r="I269" s="2">
        <v>-1330</v>
      </c>
      <c r="J269" t="str">
        <f>TEXT(orders[[#All],[Order_Date]],"mmm")</f>
        <v>Sep</v>
      </c>
      <c r="K269">
        <f>YEAR(orders[[#This Row],[Order_Date]])</f>
        <v>2023</v>
      </c>
    </row>
    <row r="270" spans="1:11" x14ac:dyDescent="0.3">
      <c r="A270">
        <v>1268</v>
      </c>
      <c r="B270" s="1">
        <v>45195</v>
      </c>
      <c r="C270" t="s">
        <v>13</v>
      </c>
      <c r="D270" t="s">
        <v>16</v>
      </c>
      <c r="E270" t="s">
        <v>11</v>
      </c>
      <c r="F270">
        <v>3418</v>
      </c>
      <c r="G270">
        <v>3881</v>
      </c>
      <c r="H270" t="s">
        <v>12</v>
      </c>
      <c r="I270" s="2">
        <v>-463</v>
      </c>
      <c r="J270" t="str">
        <f>TEXT(orders[[#All],[Order_Date]],"mmm")</f>
        <v>Sep</v>
      </c>
      <c r="K270">
        <f>YEAR(orders[[#This Row],[Order_Date]])</f>
        <v>2023</v>
      </c>
    </row>
    <row r="271" spans="1:11" x14ac:dyDescent="0.3">
      <c r="A271">
        <v>1269</v>
      </c>
      <c r="B271" s="1">
        <v>45196</v>
      </c>
      <c r="C271" t="s">
        <v>15</v>
      </c>
      <c r="D271" t="s">
        <v>10</v>
      </c>
      <c r="E271" t="s">
        <v>17</v>
      </c>
      <c r="F271">
        <v>1597</v>
      </c>
      <c r="G271">
        <v>255</v>
      </c>
      <c r="H271" t="s">
        <v>21</v>
      </c>
      <c r="I271" s="2">
        <v>1342</v>
      </c>
      <c r="J271" t="str">
        <f>TEXT(orders[[#All],[Order_Date]],"mmm")</f>
        <v>Sep</v>
      </c>
      <c r="K271">
        <f>YEAR(orders[[#This Row],[Order_Date]])</f>
        <v>2023</v>
      </c>
    </row>
    <row r="272" spans="1:11" x14ac:dyDescent="0.3">
      <c r="A272">
        <v>1270</v>
      </c>
      <c r="B272" s="1">
        <v>45197</v>
      </c>
      <c r="C272" t="s">
        <v>15</v>
      </c>
      <c r="D272" t="s">
        <v>16</v>
      </c>
      <c r="E272" t="s">
        <v>25</v>
      </c>
      <c r="F272">
        <v>2380</v>
      </c>
      <c r="G272">
        <v>3748</v>
      </c>
      <c r="H272" t="s">
        <v>26</v>
      </c>
      <c r="I272" s="2">
        <v>-1368</v>
      </c>
      <c r="J272" t="str">
        <f>TEXT(orders[[#All],[Order_Date]],"mmm")</f>
        <v>Sep</v>
      </c>
      <c r="K272">
        <f>YEAR(orders[[#This Row],[Order_Date]])</f>
        <v>2023</v>
      </c>
    </row>
    <row r="273" spans="1:11" x14ac:dyDescent="0.3">
      <c r="A273">
        <v>1271</v>
      </c>
      <c r="B273" s="1">
        <v>45198</v>
      </c>
      <c r="C273" t="s">
        <v>15</v>
      </c>
      <c r="D273" t="s">
        <v>16</v>
      </c>
      <c r="E273" t="s">
        <v>11</v>
      </c>
      <c r="F273">
        <v>4736</v>
      </c>
      <c r="G273">
        <v>1654</v>
      </c>
      <c r="H273" t="s">
        <v>12</v>
      </c>
      <c r="I273" s="2">
        <v>3082</v>
      </c>
      <c r="J273" t="str">
        <f>TEXT(orders[[#All],[Order_Date]],"mmm")</f>
        <v>Sep</v>
      </c>
      <c r="K273">
        <f>YEAR(orders[[#This Row],[Order_Date]])</f>
        <v>2023</v>
      </c>
    </row>
    <row r="274" spans="1:11" x14ac:dyDescent="0.3">
      <c r="A274">
        <v>1272</v>
      </c>
      <c r="B274" s="1">
        <v>45199</v>
      </c>
      <c r="C274" t="s">
        <v>13</v>
      </c>
      <c r="D274" t="s">
        <v>16</v>
      </c>
      <c r="E274" t="s">
        <v>22</v>
      </c>
      <c r="F274">
        <v>3292</v>
      </c>
      <c r="G274">
        <v>2286</v>
      </c>
      <c r="H274" t="s">
        <v>21</v>
      </c>
      <c r="I274" s="2">
        <v>1006</v>
      </c>
      <c r="J274" t="str">
        <f>TEXT(orders[[#All],[Order_Date]],"mmm")</f>
        <v>Sep</v>
      </c>
      <c r="K274">
        <f>YEAR(orders[[#This Row],[Order_Date]])</f>
        <v>2023</v>
      </c>
    </row>
    <row r="275" spans="1:11" x14ac:dyDescent="0.3">
      <c r="A275">
        <v>1273</v>
      </c>
      <c r="B275" s="1">
        <v>45200</v>
      </c>
      <c r="C275" t="s">
        <v>23</v>
      </c>
      <c r="D275" t="s">
        <v>16</v>
      </c>
      <c r="E275" t="s">
        <v>20</v>
      </c>
      <c r="F275">
        <v>1749</v>
      </c>
      <c r="G275">
        <v>761</v>
      </c>
      <c r="H275" t="s">
        <v>21</v>
      </c>
      <c r="I275" s="2">
        <v>988</v>
      </c>
      <c r="J275" t="str">
        <f>TEXT(orders[[#All],[Order_Date]],"mmm")</f>
        <v>Oct</v>
      </c>
      <c r="K275">
        <f>YEAR(orders[[#This Row],[Order_Date]])</f>
        <v>2023</v>
      </c>
    </row>
    <row r="276" spans="1:11" x14ac:dyDescent="0.3">
      <c r="A276">
        <v>1274</v>
      </c>
      <c r="B276" s="1">
        <v>45201</v>
      </c>
      <c r="C276" t="s">
        <v>9</v>
      </c>
      <c r="D276" t="s">
        <v>16</v>
      </c>
      <c r="E276" t="s">
        <v>25</v>
      </c>
      <c r="F276">
        <v>4399</v>
      </c>
      <c r="G276">
        <v>2512</v>
      </c>
      <c r="H276" t="s">
        <v>21</v>
      </c>
      <c r="I276" s="2">
        <v>1887</v>
      </c>
      <c r="J276" t="str">
        <f>TEXT(orders[[#All],[Order_Date]],"mmm")</f>
        <v>Oct</v>
      </c>
      <c r="K276">
        <f>YEAR(orders[[#This Row],[Order_Date]])</f>
        <v>2023</v>
      </c>
    </row>
    <row r="277" spans="1:11" x14ac:dyDescent="0.3">
      <c r="A277">
        <v>1275</v>
      </c>
      <c r="B277" s="1">
        <v>45202</v>
      </c>
      <c r="C277" t="s">
        <v>9</v>
      </c>
      <c r="D277" t="s">
        <v>10</v>
      </c>
      <c r="E277" t="s">
        <v>22</v>
      </c>
      <c r="F277">
        <v>4099</v>
      </c>
      <c r="G277">
        <v>3906</v>
      </c>
      <c r="H277" t="s">
        <v>12</v>
      </c>
      <c r="I277" s="2">
        <v>193</v>
      </c>
      <c r="J277" t="str">
        <f>TEXT(orders[[#All],[Order_Date]],"mmm")</f>
        <v>Oct</v>
      </c>
      <c r="K277">
        <f>YEAR(orders[[#This Row],[Order_Date]])</f>
        <v>2023</v>
      </c>
    </row>
    <row r="278" spans="1:11" x14ac:dyDescent="0.3">
      <c r="A278">
        <v>1276</v>
      </c>
      <c r="B278" s="1">
        <v>45203</v>
      </c>
      <c r="C278" t="s">
        <v>15</v>
      </c>
      <c r="D278" t="s">
        <v>19</v>
      </c>
      <c r="E278" t="s">
        <v>22</v>
      </c>
      <c r="F278">
        <v>1528</v>
      </c>
      <c r="G278">
        <v>1417</v>
      </c>
      <c r="H278" t="s">
        <v>14</v>
      </c>
      <c r="I278" s="2">
        <v>111</v>
      </c>
      <c r="J278" t="str">
        <f>TEXT(orders[[#All],[Order_Date]],"mmm")</f>
        <v>Oct</v>
      </c>
      <c r="K278">
        <f>YEAR(orders[[#This Row],[Order_Date]])</f>
        <v>2023</v>
      </c>
    </row>
    <row r="279" spans="1:11" x14ac:dyDescent="0.3">
      <c r="A279">
        <v>1277</v>
      </c>
      <c r="B279" s="1">
        <v>45204</v>
      </c>
      <c r="C279" t="s">
        <v>9</v>
      </c>
      <c r="D279" t="s">
        <v>19</v>
      </c>
      <c r="E279" t="s">
        <v>24</v>
      </c>
      <c r="F279">
        <v>2216</v>
      </c>
      <c r="G279">
        <v>1546</v>
      </c>
      <c r="H279" t="s">
        <v>12</v>
      </c>
      <c r="I279" s="2">
        <v>670</v>
      </c>
      <c r="J279" t="str">
        <f>TEXT(orders[[#All],[Order_Date]],"mmm")</f>
        <v>Oct</v>
      </c>
      <c r="K279">
        <f>YEAR(orders[[#This Row],[Order_Date]])</f>
        <v>2023</v>
      </c>
    </row>
    <row r="280" spans="1:11" x14ac:dyDescent="0.3">
      <c r="A280">
        <v>1278</v>
      </c>
      <c r="B280" s="1">
        <v>45205</v>
      </c>
      <c r="C280" t="s">
        <v>13</v>
      </c>
      <c r="D280" t="s">
        <v>16</v>
      </c>
      <c r="E280" t="s">
        <v>20</v>
      </c>
      <c r="F280">
        <v>4411</v>
      </c>
      <c r="G280">
        <v>1286</v>
      </c>
      <c r="H280" t="s">
        <v>12</v>
      </c>
      <c r="I280" s="2">
        <v>3125</v>
      </c>
      <c r="J280" t="str">
        <f>TEXT(orders[[#All],[Order_Date]],"mmm")</f>
        <v>Oct</v>
      </c>
      <c r="K280">
        <f>YEAR(orders[[#This Row],[Order_Date]])</f>
        <v>2023</v>
      </c>
    </row>
    <row r="281" spans="1:11" x14ac:dyDescent="0.3">
      <c r="A281">
        <v>1279</v>
      </c>
      <c r="B281" s="1">
        <v>45206</v>
      </c>
      <c r="C281" t="s">
        <v>23</v>
      </c>
      <c r="D281" t="s">
        <v>16</v>
      </c>
      <c r="E281" t="s">
        <v>24</v>
      </c>
      <c r="F281">
        <v>2876</v>
      </c>
      <c r="G281">
        <v>2264</v>
      </c>
      <c r="H281" t="s">
        <v>26</v>
      </c>
      <c r="I281" s="2">
        <v>612</v>
      </c>
      <c r="J281" t="str">
        <f>TEXT(orders[[#All],[Order_Date]],"mmm")</f>
        <v>Oct</v>
      </c>
      <c r="K281">
        <f>YEAR(orders[[#This Row],[Order_Date]])</f>
        <v>2023</v>
      </c>
    </row>
    <row r="282" spans="1:11" x14ac:dyDescent="0.3">
      <c r="A282">
        <v>1280</v>
      </c>
      <c r="B282" s="1">
        <v>45207</v>
      </c>
      <c r="C282" t="s">
        <v>13</v>
      </c>
      <c r="D282" t="s">
        <v>16</v>
      </c>
      <c r="E282" t="s">
        <v>22</v>
      </c>
      <c r="F282">
        <v>3833</v>
      </c>
      <c r="G282">
        <v>1413</v>
      </c>
      <c r="H282" t="s">
        <v>26</v>
      </c>
      <c r="I282" s="2">
        <v>2420</v>
      </c>
      <c r="J282" t="str">
        <f>TEXT(orders[[#All],[Order_Date]],"mmm")</f>
        <v>Oct</v>
      </c>
      <c r="K282">
        <f>YEAR(orders[[#This Row],[Order_Date]])</f>
        <v>2023</v>
      </c>
    </row>
    <row r="283" spans="1:11" x14ac:dyDescent="0.3">
      <c r="A283">
        <v>1281</v>
      </c>
      <c r="B283" s="1">
        <v>45208</v>
      </c>
      <c r="C283" t="s">
        <v>13</v>
      </c>
      <c r="D283" t="s">
        <v>19</v>
      </c>
      <c r="E283" t="s">
        <v>20</v>
      </c>
      <c r="F283">
        <v>1051</v>
      </c>
      <c r="G283">
        <v>394</v>
      </c>
      <c r="H283" t="s">
        <v>18</v>
      </c>
      <c r="I283" s="2">
        <v>657</v>
      </c>
      <c r="J283" t="str">
        <f>TEXT(orders[[#All],[Order_Date]],"mmm")</f>
        <v>Oct</v>
      </c>
      <c r="K283">
        <f>YEAR(orders[[#This Row],[Order_Date]])</f>
        <v>2023</v>
      </c>
    </row>
    <row r="284" spans="1:11" x14ac:dyDescent="0.3">
      <c r="A284">
        <v>1282</v>
      </c>
      <c r="B284" s="1">
        <v>45209</v>
      </c>
      <c r="C284" t="s">
        <v>23</v>
      </c>
      <c r="D284" t="s">
        <v>19</v>
      </c>
      <c r="E284" t="s">
        <v>24</v>
      </c>
      <c r="F284">
        <v>835</v>
      </c>
      <c r="G284">
        <v>3539</v>
      </c>
      <c r="H284" t="s">
        <v>12</v>
      </c>
      <c r="I284" s="2">
        <v>-2704</v>
      </c>
      <c r="J284" t="str">
        <f>TEXT(orders[[#All],[Order_Date]],"mmm")</f>
        <v>Oct</v>
      </c>
      <c r="K284">
        <f>YEAR(orders[[#This Row],[Order_Date]])</f>
        <v>2023</v>
      </c>
    </row>
    <row r="285" spans="1:11" x14ac:dyDescent="0.3">
      <c r="A285">
        <v>1283</v>
      </c>
      <c r="B285" s="1">
        <v>45210</v>
      </c>
      <c r="C285" t="s">
        <v>9</v>
      </c>
      <c r="D285" t="s">
        <v>19</v>
      </c>
      <c r="E285" t="s">
        <v>20</v>
      </c>
      <c r="F285">
        <v>4419</v>
      </c>
      <c r="G285">
        <v>2663</v>
      </c>
      <c r="H285" t="s">
        <v>12</v>
      </c>
      <c r="I285" s="2">
        <v>1756</v>
      </c>
      <c r="J285" t="str">
        <f>TEXT(orders[[#All],[Order_Date]],"mmm")</f>
        <v>Oct</v>
      </c>
      <c r="K285">
        <f>YEAR(orders[[#This Row],[Order_Date]])</f>
        <v>2023</v>
      </c>
    </row>
    <row r="286" spans="1:11" x14ac:dyDescent="0.3">
      <c r="A286">
        <v>1284</v>
      </c>
      <c r="B286" s="1">
        <v>45211</v>
      </c>
      <c r="C286" t="s">
        <v>23</v>
      </c>
      <c r="D286" t="s">
        <v>16</v>
      </c>
      <c r="E286" t="s">
        <v>20</v>
      </c>
      <c r="F286">
        <v>4381</v>
      </c>
      <c r="G286">
        <v>3666</v>
      </c>
      <c r="H286" t="s">
        <v>18</v>
      </c>
      <c r="I286" s="2">
        <v>715</v>
      </c>
      <c r="J286" t="str">
        <f>TEXT(orders[[#All],[Order_Date]],"mmm")</f>
        <v>Oct</v>
      </c>
      <c r="K286">
        <f>YEAR(orders[[#This Row],[Order_Date]])</f>
        <v>2023</v>
      </c>
    </row>
    <row r="287" spans="1:11" x14ac:dyDescent="0.3">
      <c r="A287">
        <v>1285</v>
      </c>
      <c r="B287" s="1">
        <v>45212</v>
      </c>
      <c r="C287" t="s">
        <v>13</v>
      </c>
      <c r="D287" t="s">
        <v>16</v>
      </c>
      <c r="E287" t="s">
        <v>25</v>
      </c>
      <c r="F287">
        <v>1162</v>
      </c>
      <c r="G287">
        <v>220</v>
      </c>
      <c r="H287" t="s">
        <v>12</v>
      </c>
      <c r="I287" s="2">
        <v>942</v>
      </c>
      <c r="J287" t="str">
        <f>TEXT(orders[[#All],[Order_Date]],"mmm")</f>
        <v>Oct</v>
      </c>
      <c r="K287">
        <f>YEAR(orders[[#This Row],[Order_Date]])</f>
        <v>2023</v>
      </c>
    </row>
    <row r="288" spans="1:11" x14ac:dyDescent="0.3">
      <c r="A288">
        <v>1286</v>
      </c>
      <c r="B288" s="1">
        <v>45213</v>
      </c>
      <c r="C288" t="s">
        <v>23</v>
      </c>
      <c r="D288" t="s">
        <v>19</v>
      </c>
      <c r="E288" t="s">
        <v>22</v>
      </c>
      <c r="F288">
        <v>1741</v>
      </c>
      <c r="G288">
        <v>1324</v>
      </c>
      <c r="H288" t="s">
        <v>12</v>
      </c>
      <c r="I288" s="2">
        <v>417</v>
      </c>
      <c r="J288" t="str">
        <f>TEXT(orders[[#All],[Order_Date]],"mmm")</f>
        <v>Oct</v>
      </c>
      <c r="K288">
        <f>YEAR(orders[[#This Row],[Order_Date]])</f>
        <v>2023</v>
      </c>
    </row>
    <row r="289" spans="1:11" x14ac:dyDescent="0.3">
      <c r="A289">
        <v>1287</v>
      </c>
      <c r="B289" s="1">
        <v>45214</v>
      </c>
      <c r="C289" t="s">
        <v>23</v>
      </c>
      <c r="D289" t="s">
        <v>16</v>
      </c>
      <c r="E289" t="s">
        <v>22</v>
      </c>
      <c r="F289">
        <v>1297</v>
      </c>
      <c r="G289">
        <v>2006</v>
      </c>
      <c r="H289" t="s">
        <v>18</v>
      </c>
      <c r="I289" s="2">
        <v>-709</v>
      </c>
      <c r="J289" t="str">
        <f>TEXT(orders[[#All],[Order_Date]],"mmm")</f>
        <v>Oct</v>
      </c>
      <c r="K289">
        <f>YEAR(orders[[#This Row],[Order_Date]])</f>
        <v>2023</v>
      </c>
    </row>
    <row r="290" spans="1:11" x14ac:dyDescent="0.3">
      <c r="A290">
        <v>1288</v>
      </c>
      <c r="B290" s="1">
        <v>45215</v>
      </c>
      <c r="C290" t="s">
        <v>15</v>
      </c>
      <c r="D290" t="s">
        <v>10</v>
      </c>
      <c r="E290" t="s">
        <v>17</v>
      </c>
      <c r="F290">
        <v>2301</v>
      </c>
      <c r="G290">
        <v>3904</v>
      </c>
      <c r="H290" t="s">
        <v>18</v>
      </c>
      <c r="I290" s="2">
        <v>-1603</v>
      </c>
      <c r="J290" t="str">
        <f>TEXT(orders[[#All],[Order_Date]],"mmm")</f>
        <v>Oct</v>
      </c>
      <c r="K290">
        <f>YEAR(orders[[#This Row],[Order_Date]])</f>
        <v>2023</v>
      </c>
    </row>
    <row r="291" spans="1:11" x14ac:dyDescent="0.3">
      <c r="A291">
        <v>1289</v>
      </c>
      <c r="B291" s="1">
        <v>45216</v>
      </c>
      <c r="C291" t="s">
        <v>15</v>
      </c>
      <c r="D291" t="s">
        <v>19</v>
      </c>
      <c r="E291" t="s">
        <v>17</v>
      </c>
      <c r="F291">
        <v>3967</v>
      </c>
      <c r="G291">
        <v>252</v>
      </c>
      <c r="H291" t="s">
        <v>18</v>
      </c>
      <c r="I291" s="2">
        <v>3715</v>
      </c>
      <c r="J291" t="str">
        <f>TEXT(orders[[#All],[Order_Date]],"mmm")</f>
        <v>Oct</v>
      </c>
      <c r="K291">
        <f>YEAR(orders[[#This Row],[Order_Date]])</f>
        <v>2023</v>
      </c>
    </row>
    <row r="292" spans="1:11" x14ac:dyDescent="0.3">
      <c r="A292">
        <v>1290</v>
      </c>
      <c r="B292" s="1">
        <v>45217</v>
      </c>
      <c r="C292" t="s">
        <v>13</v>
      </c>
      <c r="D292" t="s">
        <v>19</v>
      </c>
      <c r="E292" t="s">
        <v>17</v>
      </c>
      <c r="F292">
        <v>3441</v>
      </c>
      <c r="G292">
        <v>655</v>
      </c>
      <c r="H292" t="s">
        <v>21</v>
      </c>
      <c r="I292" s="2">
        <v>2786</v>
      </c>
      <c r="J292" t="str">
        <f>TEXT(orders[[#All],[Order_Date]],"mmm")</f>
        <v>Oct</v>
      </c>
      <c r="K292">
        <f>YEAR(orders[[#This Row],[Order_Date]])</f>
        <v>2023</v>
      </c>
    </row>
    <row r="293" spans="1:11" x14ac:dyDescent="0.3">
      <c r="A293">
        <v>1291</v>
      </c>
      <c r="B293" s="1">
        <v>45218</v>
      </c>
      <c r="C293" t="s">
        <v>13</v>
      </c>
      <c r="D293" t="s">
        <v>16</v>
      </c>
      <c r="E293" t="s">
        <v>17</v>
      </c>
      <c r="F293">
        <v>3419</v>
      </c>
      <c r="G293">
        <v>3941</v>
      </c>
      <c r="H293" t="s">
        <v>26</v>
      </c>
      <c r="I293" s="2">
        <v>-522</v>
      </c>
      <c r="J293" t="str">
        <f>TEXT(orders[[#All],[Order_Date]],"mmm")</f>
        <v>Oct</v>
      </c>
      <c r="K293">
        <f>YEAR(orders[[#This Row],[Order_Date]])</f>
        <v>2023</v>
      </c>
    </row>
    <row r="294" spans="1:11" x14ac:dyDescent="0.3">
      <c r="A294">
        <v>1292</v>
      </c>
      <c r="B294" s="1">
        <v>45219</v>
      </c>
      <c r="C294" t="s">
        <v>9</v>
      </c>
      <c r="D294" t="s">
        <v>10</v>
      </c>
      <c r="E294" t="s">
        <v>11</v>
      </c>
      <c r="F294">
        <v>4294</v>
      </c>
      <c r="G294">
        <v>2125</v>
      </c>
      <c r="H294" t="s">
        <v>18</v>
      </c>
      <c r="I294" s="2">
        <v>2169</v>
      </c>
      <c r="J294" t="str">
        <f>TEXT(orders[[#All],[Order_Date]],"mmm")</f>
        <v>Oct</v>
      </c>
      <c r="K294">
        <f>YEAR(orders[[#This Row],[Order_Date]])</f>
        <v>2023</v>
      </c>
    </row>
    <row r="295" spans="1:11" x14ac:dyDescent="0.3">
      <c r="A295">
        <v>1293</v>
      </c>
      <c r="B295" s="1">
        <v>45220</v>
      </c>
      <c r="C295" t="s">
        <v>13</v>
      </c>
      <c r="D295" t="s">
        <v>19</v>
      </c>
      <c r="E295" t="s">
        <v>17</v>
      </c>
      <c r="F295">
        <v>755</v>
      </c>
      <c r="G295">
        <v>3542</v>
      </c>
      <c r="H295" t="s">
        <v>21</v>
      </c>
      <c r="I295" s="2">
        <v>-2787</v>
      </c>
      <c r="J295" t="str">
        <f>TEXT(orders[[#All],[Order_Date]],"mmm")</f>
        <v>Oct</v>
      </c>
      <c r="K295">
        <f>YEAR(orders[[#This Row],[Order_Date]])</f>
        <v>2023</v>
      </c>
    </row>
    <row r="296" spans="1:11" x14ac:dyDescent="0.3">
      <c r="A296">
        <v>1294</v>
      </c>
      <c r="B296" s="1">
        <v>45221</v>
      </c>
      <c r="C296" t="s">
        <v>9</v>
      </c>
      <c r="D296" t="s">
        <v>10</v>
      </c>
      <c r="E296" t="s">
        <v>25</v>
      </c>
      <c r="F296">
        <v>1835</v>
      </c>
      <c r="G296">
        <v>1850</v>
      </c>
      <c r="H296" t="s">
        <v>26</v>
      </c>
      <c r="I296" s="2">
        <v>-15</v>
      </c>
      <c r="J296" t="str">
        <f>TEXT(orders[[#All],[Order_Date]],"mmm")</f>
        <v>Oct</v>
      </c>
      <c r="K296">
        <f>YEAR(orders[[#This Row],[Order_Date]])</f>
        <v>2023</v>
      </c>
    </row>
    <row r="297" spans="1:11" x14ac:dyDescent="0.3">
      <c r="A297">
        <v>1295</v>
      </c>
      <c r="B297" s="1">
        <v>45222</v>
      </c>
      <c r="C297" t="s">
        <v>9</v>
      </c>
      <c r="D297" t="s">
        <v>10</v>
      </c>
      <c r="E297" t="s">
        <v>11</v>
      </c>
      <c r="F297">
        <v>2046</v>
      </c>
      <c r="G297">
        <v>950</v>
      </c>
      <c r="H297" t="s">
        <v>18</v>
      </c>
      <c r="I297" s="2">
        <v>1096</v>
      </c>
      <c r="J297" t="str">
        <f>TEXT(orders[[#All],[Order_Date]],"mmm")</f>
        <v>Oct</v>
      </c>
      <c r="K297">
        <f>YEAR(orders[[#This Row],[Order_Date]])</f>
        <v>2023</v>
      </c>
    </row>
    <row r="298" spans="1:11" x14ac:dyDescent="0.3">
      <c r="A298">
        <v>1296</v>
      </c>
      <c r="B298" s="1">
        <v>45223</v>
      </c>
      <c r="C298" t="s">
        <v>23</v>
      </c>
      <c r="D298" t="s">
        <v>16</v>
      </c>
      <c r="E298" t="s">
        <v>25</v>
      </c>
      <c r="F298">
        <v>2177</v>
      </c>
      <c r="G298">
        <v>3223</v>
      </c>
      <c r="H298" t="s">
        <v>12</v>
      </c>
      <c r="I298" s="2">
        <v>-1046</v>
      </c>
      <c r="J298" t="str">
        <f>TEXT(orders[[#All],[Order_Date]],"mmm")</f>
        <v>Oct</v>
      </c>
      <c r="K298">
        <f>YEAR(orders[[#This Row],[Order_Date]])</f>
        <v>2023</v>
      </c>
    </row>
    <row r="299" spans="1:11" x14ac:dyDescent="0.3">
      <c r="A299">
        <v>1297</v>
      </c>
      <c r="B299" s="1">
        <v>45224</v>
      </c>
      <c r="C299" t="s">
        <v>23</v>
      </c>
      <c r="D299" t="s">
        <v>19</v>
      </c>
      <c r="E299" t="s">
        <v>17</v>
      </c>
      <c r="F299">
        <v>4651</v>
      </c>
      <c r="G299">
        <v>1019</v>
      </c>
      <c r="H299" t="s">
        <v>12</v>
      </c>
      <c r="I299" s="2">
        <v>3632</v>
      </c>
      <c r="J299" t="str">
        <f>TEXT(orders[[#All],[Order_Date]],"mmm")</f>
        <v>Oct</v>
      </c>
      <c r="K299">
        <f>YEAR(orders[[#This Row],[Order_Date]])</f>
        <v>2023</v>
      </c>
    </row>
    <row r="300" spans="1:11" x14ac:dyDescent="0.3">
      <c r="A300">
        <v>1298</v>
      </c>
      <c r="B300" s="1">
        <v>45225</v>
      </c>
      <c r="C300" t="s">
        <v>13</v>
      </c>
      <c r="D300" t="s">
        <v>10</v>
      </c>
      <c r="E300" t="s">
        <v>22</v>
      </c>
      <c r="F300">
        <v>907</v>
      </c>
      <c r="G300">
        <v>3304</v>
      </c>
      <c r="H300" t="s">
        <v>26</v>
      </c>
      <c r="I300" s="2">
        <v>-2397</v>
      </c>
      <c r="J300" t="str">
        <f>TEXT(orders[[#All],[Order_Date]],"mmm")</f>
        <v>Oct</v>
      </c>
      <c r="K300">
        <f>YEAR(orders[[#This Row],[Order_Date]])</f>
        <v>2023</v>
      </c>
    </row>
    <row r="301" spans="1:11" x14ac:dyDescent="0.3">
      <c r="A301">
        <v>1299</v>
      </c>
      <c r="B301" s="1">
        <v>45226</v>
      </c>
      <c r="C301" t="s">
        <v>15</v>
      </c>
      <c r="D301" t="s">
        <v>19</v>
      </c>
      <c r="E301" t="s">
        <v>11</v>
      </c>
      <c r="F301">
        <v>1881</v>
      </c>
      <c r="G301">
        <v>607</v>
      </c>
      <c r="H301" t="s">
        <v>14</v>
      </c>
      <c r="I301" s="2">
        <v>1274</v>
      </c>
      <c r="J301" t="str">
        <f>TEXT(orders[[#All],[Order_Date]],"mmm")</f>
        <v>Oct</v>
      </c>
      <c r="K301">
        <f>YEAR(orders[[#This Row],[Order_Date]])</f>
        <v>2023</v>
      </c>
    </row>
    <row r="302" spans="1:11" x14ac:dyDescent="0.3">
      <c r="A302">
        <v>1300</v>
      </c>
      <c r="B302" s="1">
        <v>45227</v>
      </c>
      <c r="C302" t="s">
        <v>15</v>
      </c>
      <c r="D302" t="s">
        <v>16</v>
      </c>
      <c r="E302" t="s">
        <v>22</v>
      </c>
      <c r="F302">
        <v>2111</v>
      </c>
      <c r="G302">
        <v>1985</v>
      </c>
      <c r="H302" t="s">
        <v>26</v>
      </c>
      <c r="I302" s="2">
        <v>126</v>
      </c>
      <c r="J302" t="str">
        <f>TEXT(orders[[#All],[Order_Date]],"mmm")</f>
        <v>Oct</v>
      </c>
      <c r="K302">
        <f>YEAR(orders[[#This Row],[Order_Date]])</f>
        <v>2023</v>
      </c>
    </row>
    <row r="303" spans="1:11" x14ac:dyDescent="0.3">
      <c r="A303">
        <v>1301</v>
      </c>
      <c r="B303" s="1">
        <v>45228</v>
      </c>
      <c r="C303" t="s">
        <v>9</v>
      </c>
      <c r="D303" t="s">
        <v>19</v>
      </c>
      <c r="E303" t="s">
        <v>25</v>
      </c>
      <c r="F303">
        <v>2409</v>
      </c>
      <c r="G303">
        <v>1059</v>
      </c>
      <c r="H303" t="s">
        <v>21</v>
      </c>
      <c r="I303" s="2">
        <v>1350</v>
      </c>
      <c r="J303" t="str">
        <f>TEXT(orders[[#All],[Order_Date]],"mmm")</f>
        <v>Oct</v>
      </c>
      <c r="K303">
        <f>YEAR(orders[[#This Row],[Order_Date]])</f>
        <v>2023</v>
      </c>
    </row>
    <row r="304" spans="1:11" x14ac:dyDescent="0.3">
      <c r="A304">
        <v>1302</v>
      </c>
      <c r="B304" s="1">
        <v>45229</v>
      </c>
      <c r="C304" t="s">
        <v>13</v>
      </c>
      <c r="D304" t="s">
        <v>16</v>
      </c>
      <c r="E304" t="s">
        <v>25</v>
      </c>
      <c r="F304">
        <v>4748</v>
      </c>
      <c r="G304">
        <v>974</v>
      </c>
      <c r="H304" t="s">
        <v>12</v>
      </c>
      <c r="I304" s="2">
        <v>3774</v>
      </c>
      <c r="J304" t="str">
        <f>TEXT(orders[[#All],[Order_Date]],"mmm")</f>
        <v>Oct</v>
      </c>
      <c r="K304">
        <f>YEAR(orders[[#This Row],[Order_Date]])</f>
        <v>2023</v>
      </c>
    </row>
    <row r="305" spans="1:11" x14ac:dyDescent="0.3">
      <c r="A305">
        <v>1303</v>
      </c>
      <c r="B305" s="1">
        <v>45230</v>
      </c>
      <c r="C305" t="s">
        <v>9</v>
      </c>
      <c r="D305" t="s">
        <v>19</v>
      </c>
      <c r="E305" t="s">
        <v>11</v>
      </c>
      <c r="F305">
        <v>3909</v>
      </c>
      <c r="G305">
        <v>1937</v>
      </c>
      <c r="H305" t="s">
        <v>12</v>
      </c>
      <c r="I305" s="2">
        <v>1972</v>
      </c>
      <c r="J305" t="str">
        <f>TEXT(orders[[#All],[Order_Date]],"mmm")</f>
        <v>Oct</v>
      </c>
      <c r="K305">
        <f>YEAR(orders[[#This Row],[Order_Date]])</f>
        <v>2023</v>
      </c>
    </row>
    <row r="306" spans="1:11" x14ac:dyDescent="0.3">
      <c r="A306">
        <v>1304</v>
      </c>
      <c r="B306" s="1">
        <v>45231</v>
      </c>
      <c r="C306" t="s">
        <v>23</v>
      </c>
      <c r="D306" t="s">
        <v>19</v>
      </c>
      <c r="E306" t="s">
        <v>20</v>
      </c>
      <c r="F306">
        <v>3718</v>
      </c>
      <c r="G306">
        <v>2368</v>
      </c>
      <c r="H306" t="s">
        <v>18</v>
      </c>
      <c r="I306" s="2">
        <v>1350</v>
      </c>
      <c r="J306" t="str">
        <f>TEXT(orders[[#All],[Order_Date]],"mmm")</f>
        <v>Nov</v>
      </c>
      <c r="K306">
        <f>YEAR(orders[[#This Row],[Order_Date]])</f>
        <v>2023</v>
      </c>
    </row>
    <row r="307" spans="1:11" x14ac:dyDescent="0.3">
      <c r="A307">
        <v>1305</v>
      </c>
      <c r="B307" s="1">
        <v>45232</v>
      </c>
      <c r="C307" t="s">
        <v>13</v>
      </c>
      <c r="D307" t="s">
        <v>16</v>
      </c>
      <c r="E307" t="s">
        <v>25</v>
      </c>
      <c r="F307">
        <v>4659</v>
      </c>
      <c r="G307">
        <v>1289</v>
      </c>
      <c r="H307" t="s">
        <v>21</v>
      </c>
      <c r="I307" s="2">
        <v>3370</v>
      </c>
      <c r="J307" t="str">
        <f>TEXT(orders[[#All],[Order_Date]],"mmm")</f>
        <v>Nov</v>
      </c>
      <c r="K307">
        <f>YEAR(orders[[#This Row],[Order_Date]])</f>
        <v>2023</v>
      </c>
    </row>
    <row r="308" spans="1:11" x14ac:dyDescent="0.3">
      <c r="A308">
        <v>1306</v>
      </c>
      <c r="B308" s="1">
        <v>45233</v>
      </c>
      <c r="C308" t="s">
        <v>13</v>
      </c>
      <c r="D308" t="s">
        <v>10</v>
      </c>
      <c r="E308" t="s">
        <v>20</v>
      </c>
      <c r="F308">
        <v>2065</v>
      </c>
      <c r="G308">
        <v>1299</v>
      </c>
      <c r="H308" t="s">
        <v>14</v>
      </c>
      <c r="I308" s="2">
        <v>766</v>
      </c>
      <c r="J308" t="str">
        <f>TEXT(orders[[#All],[Order_Date]],"mmm")</f>
        <v>Nov</v>
      </c>
      <c r="K308">
        <f>YEAR(orders[[#This Row],[Order_Date]])</f>
        <v>2023</v>
      </c>
    </row>
    <row r="309" spans="1:11" x14ac:dyDescent="0.3">
      <c r="A309">
        <v>1307</v>
      </c>
      <c r="B309" s="1">
        <v>45234</v>
      </c>
      <c r="C309" t="s">
        <v>15</v>
      </c>
      <c r="D309" t="s">
        <v>10</v>
      </c>
      <c r="E309" t="s">
        <v>11</v>
      </c>
      <c r="F309">
        <v>3493</v>
      </c>
      <c r="G309">
        <v>1055</v>
      </c>
      <c r="H309" t="s">
        <v>21</v>
      </c>
      <c r="I309" s="2">
        <v>2438</v>
      </c>
      <c r="J309" t="str">
        <f>TEXT(orders[[#All],[Order_Date]],"mmm")</f>
        <v>Nov</v>
      </c>
      <c r="K309">
        <f>YEAR(orders[[#This Row],[Order_Date]])</f>
        <v>2023</v>
      </c>
    </row>
    <row r="310" spans="1:11" x14ac:dyDescent="0.3">
      <c r="A310">
        <v>1308</v>
      </c>
      <c r="B310" s="1">
        <v>45235</v>
      </c>
      <c r="C310" t="s">
        <v>13</v>
      </c>
      <c r="D310" t="s">
        <v>19</v>
      </c>
      <c r="E310" t="s">
        <v>25</v>
      </c>
      <c r="F310">
        <v>2910</v>
      </c>
      <c r="G310">
        <v>2756</v>
      </c>
      <c r="H310" t="s">
        <v>21</v>
      </c>
      <c r="I310" s="2">
        <v>154</v>
      </c>
      <c r="J310" t="str">
        <f>TEXT(orders[[#All],[Order_Date]],"mmm")</f>
        <v>Nov</v>
      </c>
      <c r="K310">
        <f>YEAR(orders[[#This Row],[Order_Date]])</f>
        <v>2023</v>
      </c>
    </row>
    <row r="311" spans="1:11" x14ac:dyDescent="0.3">
      <c r="A311">
        <v>1309</v>
      </c>
      <c r="B311" s="1">
        <v>45236</v>
      </c>
      <c r="C311" t="s">
        <v>15</v>
      </c>
      <c r="D311" t="s">
        <v>19</v>
      </c>
      <c r="E311" t="s">
        <v>22</v>
      </c>
      <c r="F311">
        <v>4699</v>
      </c>
      <c r="G311">
        <v>1934</v>
      </c>
      <c r="H311" t="s">
        <v>21</v>
      </c>
      <c r="I311" s="2">
        <v>2765</v>
      </c>
      <c r="J311" t="str">
        <f>TEXT(orders[[#All],[Order_Date]],"mmm")</f>
        <v>Nov</v>
      </c>
      <c r="K311">
        <f>YEAR(orders[[#This Row],[Order_Date]])</f>
        <v>2023</v>
      </c>
    </row>
    <row r="312" spans="1:11" x14ac:dyDescent="0.3">
      <c r="A312">
        <v>1310</v>
      </c>
      <c r="B312" s="1">
        <v>45237</v>
      </c>
      <c r="C312" t="s">
        <v>13</v>
      </c>
      <c r="D312" t="s">
        <v>19</v>
      </c>
      <c r="E312" t="s">
        <v>24</v>
      </c>
      <c r="F312">
        <v>3839</v>
      </c>
      <c r="G312">
        <v>3056</v>
      </c>
      <c r="H312" t="s">
        <v>21</v>
      </c>
      <c r="I312" s="2">
        <v>783</v>
      </c>
      <c r="J312" t="str">
        <f>TEXT(orders[[#All],[Order_Date]],"mmm")</f>
        <v>Nov</v>
      </c>
      <c r="K312">
        <f>YEAR(orders[[#This Row],[Order_Date]])</f>
        <v>2023</v>
      </c>
    </row>
    <row r="313" spans="1:11" x14ac:dyDescent="0.3">
      <c r="A313">
        <v>1311</v>
      </c>
      <c r="B313" s="1">
        <v>45238</v>
      </c>
      <c r="C313" t="s">
        <v>23</v>
      </c>
      <c r="D313" t="s">
        <v>10</v>
      </c>
      <c r="E313" t="s">
        <v>17</v>
      </c>
      <c r="F313">
        <v>812</v>
      </c>
      <c r="G313">
        <v>3972</v>
      </c>
      <c r="H313" t="s">
        <v>14</v>
      </c>
      <c r="I313" s="2">
        <v>-3160</v>
      </c>
      <c r="J313" t="str">
        <f>TEXT(orders[[#All],[Order_Date]],"mmm")</f>
        <v>Nov</v>
      </c>
      <c r="K313">
        <f>YEAR(orders[[#This Row],[Order_Date]])</f>
        <v>2023</v>
      </c>
    </row>
    <row r="314" spans="1:11" x14ac:dyDescent="0.3">
      <c r="A314">
        <v>1312</v>
      </c>
      <c r="B314" s="1">
        <v>45239</v>
      </c>
      <c r="C314" t="s">
        <v>9</v>
      </c>
      <c r="D314" t="s">
        <v>16</v>
      </c>
      <c r="E314" t="s">
        <v>17</v>
      </c>
      <c r="F314">
        <v>1812</v>
      </c>
      <c r="G314">
        <v>1260</v>
      </c>
      <c r="H314" t="s">
        <v>21</v>
      </c>
      <c r="I314" s="2">
        <v>552</v>
      </c>
      <c r="J314" t="str">
        <f>TEXT(orders[[#All],[Order_Date]],"mmm")</f>
        <v>Nov</v>
      </c>
      <c r="K314">
        <f>YEAR(orders[[#This Row],[Order_Date]])</f>
        <v>2023</v>
      </c>
    </row>
    <row r="315" spans="1:11" x14ac:dyDescent="0.3">
      <c r="A315">
        <v>1313</v>
      </c>
      <c r="B315" s="1">
        <v>45240</v>
      </c>
      <c r="C315" t="s">
        <v>15</v>
      </c>
      <c r="D315" t="s">
        <v>16</v>
      </c>
      <c r="E315" t="s">
        <v>24</v>
      </c>
      <c r="F315">
        <v>873</v>
      </c>
      <c r="G315">
        <v>1108</v>
      </c>
      <c r="H315" t="s">
        <v>14</v>
      </c>
      <c r="I315" s="2">
        <v>-235</v>
      </c>
      <c r="J315" t="str">
        <f>TEXT(orders[[#All],[Order_Date]],"mmm")</f>
        <v>Nov</v>
      </c>
      <c r="K315">
        <f>YEAR(orders[[#This Row],[Order_Date]])</f>
        <v>2023</v>
      </c>
    </row>
    <row r="316" spans="1:11" x14ac:dyDescent="0.3">
      <c r="A316">
        <v>1314</v>
      </c>
      <c r="B316" s="1">
        <v>45241</v>
      </c>
      <c r="C316" t="s">
        <v>15</v>
      </c>
      <c r="D316" t="s">
        <v>16</v>
      </c>
      <c r="E316" t="s">
        <v>24</v>
      </c>
      <c r="F316">
        <v>1333</v>
      </c>
      <c r="G316">
        <v>1131</v>
      </c>
      <c r="H316" t="s">
        <v>26</v>
      </c>
      <c r="I316" s="2">
        <v>202</v>
      </c>
      <c r="J316" t="str">
        <f>TEXT(orders[[#All],[Order_Date]],"mmm")</f>
        <v>Nov</v>
      </c>
      <c r="K316">
        <f>YEAR(orders[[#This Row],[Order_Date]])</f>
        <v>2023</v>
      </c>
    </row>
    <row r="317" spans="1:11" x14ac:dyDescent="0.3">
      <c r="A317">
        <v>1315</v>
      </c>
      <c r="B317" s="1">
        <v>45242</v>
      </c>
      <c r="C317" t="s">
        <v>13</v>
      </c>
      <c r="D317" t="s">
        <v>10</v>
      </c>
      <c r="E317" t="s">
        <v>11</v>
      </c>
      <c r="F317">
        <v>2573</v>
      </c>
      <c r="G317">
        <v>262</v>
      </c>
      <c r="H317" t="s">
        <v>21</v>
      </c>
      <c r="I317" s="2">
        <v>2311</v>
      </c>
      <c r="J317" t="str">
        <f>TEXT(orders[[#All],[Order_Date]],"mmm")</f>
        <v>Nov</v>
      </c>
      <c r="K317">
        <f>YEAR(orders[[#This Row],[Order_Date]])</f>
        <v>2023</v>
      </c>
    </row>
    <row r="318" spans="1:11" x14ac:dyDescent="0.3">
      <c r="A318">
        <v>1316</v>
      </c>
      <c r="B318" s="1">
        <v>45243</v>
      </c>
      <c r="C318" t="s">
        <v>13</v>
      </c>
      <c r="D318" t="s">
        <v>16</v>
      </c>
      <c r="E318" t="s">
        <v>25</v>
      </c>
      <c r="F318">
        <v>4544</v>
      </c>
      <c r="G318">
        <v>1677</v>
      </c>
      <c r="H318" t="s">
        <v>18</v>
      </c>
      <c r="I318" s="2">
        <v>2867</v>
      </c>
      <c r="J318" t="str">
        <f>TEXT(orders[[#All],[Order_Date]],"mmm")</f>
        <v>Nov</v>
      </c>
      <c r="K318">
        <f>YEAR(orders[[#This Row],[Order_Date]])</f>
        <v>2023</v>
      </c>
    </row>
    <row r="319" spans="1:11" x14ac:dyDescent="0.3">
      <c r="A319">
        <v>1317</v>
      </c>
      <c r="B319" s="1">
        <v>45244</v>
      </c>
      <c r="C319" t="s">
        <v>13</v>
      </c>
      <c r="D319" t="s">
        <v>10</v>
      </c>
      <c r="E319" t="s">
        <v>22</v>
      </c>
      <c r="F319">
        <v>3468</v>
      </c>
      <c r="G319">
        <v>2054</v>
      </c>
      <c r="H319" t="s">
        <v>14</v>
      </c>
      <c r="I319" s="2">
        <v>1414</v>
      </c>
      <c r="J319" t="str">
        <f>TEXT(orders[[#All],[Order_Date]],"mmm")</f>
        <v>Nov</v>
      </c>
      <c r="K319">
        <f>YEAR(orders[[#This Row],[Order_Date]])</f>
        <v>2023</v>
      </c>
    </row>
    <row r="320" spans="1:11" x14ac:dyDescent="0.3">
      <c r="A320">
        <v>1318</v>
      </c>
      <c r="B320" s="1">
        <v>45245</v>
      </c>
      <c r="C320" t="s">
        <v>15</v>
      </c>
      <c r="D320" t="s">
        <v>19</v>
      </c>
      <c r="E320" t="s">
        <v>17</v>
      </c>
      <c r="F320">
        <v>4743</v>
      </c>
      <c r="G320">
        <v>642</v>
      </c>
      <c r="H320" t="s">
        <v>14</v>
      </c>
      <c r="I320" s="2">
        <v>4101</v>
      </c>
      <c r="J320" t="str">
        <f>TEXT(orders[[#All],[Order_Date]],"mmm")</f>
        <v>Nov</v>
      </c>
      <c r="K320">
        <f>YEAR(orders[[#This Row],[Order_Date]])</f>
        <v>2023</v>
      </c>
    </row>
    <row r="321" spans="1:11" x14ac:dyDescent="0.3">
      <c r="A321">
        <v>1319</v>
      </c>
      <c r="B321" s="1">
        <v>45246</v>
      </c>
      <c r="C321" t="s">
        <v>15</v>
      </c>
      <c r="D321" t="s">
        <v>16</v>
      </c>
      <c r="E321" t="s">
        <v>24</v>
      </c>
      <c r="F321">
        <v>1448</v>
      </c>
      <c r="G321">
        <v>788</v>
      </c>
      <c r="H321" t="s">
        <v>21</v>
      </c>
      <c r="I321" s="2">
        <v>660</v>
      </c>
      <c r="J321" t="str">
        <f>TEXT(orders[[#All],[Order_Date]],"mmm")</f>
        <v>Nov</v>
      </c>
      <c r="K321">
        <f>YEAR(orders[[#This Row],[Order_Date]])</f>
        <v>2023</v>
      </c>
    </row>
    <row r="322" spans="1:11" x14ac:dyDescent="0.3">
      <c r="A322">
        <v>1320</v>
      </c>
      <c r="B322" s="1">
        <v>45247</v>
      </c>
      <c r="C322" t="s">
        <v>15</v>
      </c>
      <c r="D322" t="s">
        <v>16</v>
      </c>
      <c r="E322" t="s">
        <v>20</v>
      </c>
      <c r="F322">
        <v>3004</v>
      </c>
      <c r="G322">
        <v>3802</v>
      </c>
      <c r="H322" t="s">
        <v>18</v>
      </c>
      <c r="I322" s="2">
        <v>-798</v>
      </c>
      <c r="J322" t="str">
        <f>TEXT(orders[[#All],[Order_Date]],"mmm")</f>
        <v>Nov</v>
      </c>
      <c r="K322">
        <f>YEAR(orders[[#This Row],[Order_Date]])</f>
        <v>2023</v>
      </c>
    </row>
    <row r="323" spans="1:11" x14ac:dyDescent="0.3">
      <c r="A323">
        <v>1321</v>
      </c>
      <c r="B323" s="1">
        <v>45248</v>
      </c>
      <c r="C323" t="s">
        <v>13</v>
      </c>
      <c r="D323" t="s">
        <v>10</v>
      </c>
      <c r="E323" t="s">
        <v>20</v>
      </c>
      <c r="F323">
        <v>4642</v>
      </c>
      <c r="G323">
        <v>2632</v>
      </c>
      <c r="H323" t="s">
        <v>18</v>
      </c>
      <c r="I323" s="2">
        <v>2010</v>
      </c>
      <c r="J323" t="str">
        <f>TEXT(orders[[#All],[Order_Date]],"mmm")</f>
        <v>Nov</v>
      </c>
      <c r="K323">
        <f>YEAR(orders[[#This Row],[Order_Date]])</f>
        <v>2023</v>
      </c>
    </row>
    <row r="324" spans="1:11" x14ac:dyDescent="0.3">
      <c r="A324">
        <v>1322</v>
      </c>
      <c r="B324" s="1">
        <v>45249</v>
      </c>
      <c r="C324" t="s">
        <v>13</v>
      </c>
      <c r="D324" t="s">
        <v>19</v>
      </c>
      <c r="E324" t="s">
        <v>24</v>
      </c>
      <c r="F324">
        <v>4631</v>
      </c>
      <c r="G324">
        <v>1225</v>
      </c>
      <c r="H324" t="s">
        <v>21</v>
      </c>
      <c r="I324" s="2">
        <v>3406</v>
      </c>
      <c r="J324" t="str">
        <f>TEXT(orders[[#All],[Order_Date]],"mmm")</f>
        <v>Nov</v>
      </c>
      <c r="K324">
        <f>YEAR(orders[[#This Row],[Order_Date]])</f>
        <v>2023</v>
      </c>
    </row>
    <row r="325" spans="1:11" x14ac:dyDescent="0.3">
      <c r="A325">
        <v>1323</v>
      </c>
      <c r="B325" s="1">
        <v>45250</v>
      </c>
      <c r="C325" t="s">
        <v>23</v>
      </c>
      <c r="D325" t="s">
        <v>16</v>
      </c>
      <c r="E325" t="s">
        <v>24</v>
      </c>
      <c r="F325">
        <v>2757</v>
      </c>
      <c r="G325">
        <v>1948</v>
      </c>
      <c r="H325" t="s">
        <v>18</v>
      </c>
      <c r="I325" s="2">
        <v>809</v>
      </c>
      <c r="J325" t="str">
        <f>TEXT(orders[[#All],[Order_Date]],"mmm")</f>
        <v>Nov</v>
      </c>
      <c r="K325">
        <f>YEAR(orders[[#This Row],[Order_Date]])</f>
        <v>2023</v>
      </c>
    </row>
    <row r="326" spans="1:11" x14ac:dyDescent="0.3">
      <c r="A326">
        <v>1324</v>
      </c>
      <c r="B326" s="1">
        <v>45251</v>
      </c>
      <c r="C326" t="s">
        <v>23</v>
      </c>
      <c r="D326" t="s">
        <v>10</v>
      </c>
      <c r="E326" t="s">
        <v>25</v>
      </c>
      <c r="F326">
        <v>1675</v>
      </c>
      <c r="G326">
        <v>917</v>
      </c>
      <c r="H326" t="s">
        <v>14</v>
      </c>
      <c r="I326" s="2">
        <v>758</v>
      </c>
      <c r="J326" t="str">
        <f>TEXT(orders[[#All],[Order_Date]],"mmm")</f>
        <v>Nov</v>
      </c>
      <c r="K326">
        <f>YEAR(orders[[#This Row],[Order_Date]])</f>
        <v>2023</v>
      </c>
    </row>
    <row r="327" spans="1:11" x14ac:dyDescent="0.3">
      <c r="A327">
        <v>1325</v>
      </c>
      <c r="B327" s="1">
        <v>45252</v>
      </c>
      <c r="C327" t="s">
        <v>23</v>
      </c>
      <c r="D327" t="s">
        <v>10</v>
      </c>
      <c r="E327" t="s">
        <v>20</v>
      </c>
      <c r="F327">
        <v>2609</v>
      </c>
      <c r="G327">
        <v>1826</v>
      </c>
      <c r="H327" t="s">
        <v>21</v>
      </c>
      <c r="I327" s="2">
        <v>783</v>
      </c>
      <c r="J327" t="str">
        <f>TEXT(orders[[#All],[Order_Date]],"mmm")</f>
        <v>Nov</v>
      </c>
      <c r="K327">
        <f>YEAR(orders[[#This Row],[Order_Date]])</f>
        <v>2023</v>
      </c>
    </row>
    <row r="328" spans="1:11" x14ac:dyDescent="0.3">
      <c r="A328">
        <v>1326</v>
      </c>
      <c r="B328" s="1">
        <v>45253</v>
      </c>
      <c r="C328" t="s">
        <v>9</v>
      </c>
      <c r="D328" t="s">
        <v>16</v>
      </c>
      <c r="E328" t="s">
        <v>22</v>
      </c>
      <c r="F328">
        <v>1705</v>
      </c>
      <c r="G328">
        <v>1336</v>
      </c>
      <c r="H328" t="s">
        <v>21</v>
      </c>
      <c r="I328" s="2">
        <v>369</v>
      </c>
      <c r="J328" t="str">
        <f>TEXT(orders[[#All],[Order_Date]],"mmm")</f>
        <v>Nov</v>
      </c>
      <c r="K328">
        <f>YEAR(orders[[#This Row],[Order_Date]])</f>
        <v>2023</v>
      </c>
    </row>
    <row r="329" spans="1:11" x14ac:dyDescent="0.3">
      <c r="A329">
        <v>1327</v>
      </c>
      <c r="B329" s="1">
        <v>45254</v>
      </c>
      <c r="C329" t="s">
        <v>13</v>
      </c>
      <c r="D329" t="s">
        <v>19</v>
      </c>
      <c r="E329" t="s">
        <v>24</v>
      </c>
      <c r="F329">
        <v>2658</v>
      </c>
      <c r="G329">
        <v>3379</v>
      </c>
      <c r="H329" t="s">
        <v>21</v>
      </c>
      <c r="I329" s="2">
        <v>-721</v>
      </c>
      <c r="J329" t="str">
        <f>TEXT(orders[[#All],[Order_Date]],"mmm")</f>
        <v>Nov</v>
      </c>
      <c r="K329">
        <f>YEAR(orders[[#This Row],[Order_Date]])</f>
        <v>2023</v>
      </c>
    </row>
    <row r="330" spans="1:11" x14ac:dyDescent="0.3">
      <c r="A330">
        <v>1328</v>
      </c>
      <c r="B330" s="1">
        <v>45255</v>
      </c>
      <c r="C330" t="s">
        <v>13</v>
      </c>
      <c r="D330" t="s">
        <v>16</v>
      </c>
      <c r="E330" t="s">
        <v>22</v>
      </c>
      <c r="F330">
        <v>1179</v>
      </c>
      <c r="G330">
        <v>1373</v>
      </c>
      <c r="H330" t="s">
        <v>26</v>
      </c>
      <c r="I330" s="2">
        <v>-194</v>
      </c>
      <c r="J330" t="str">
        <f>TEXT(orders[[#All],[Order_Date]],"mmm")</f>
        <v>Nov</v>
      </c>
      <c r="K330">
        <f>YEAR(orders[[#This Row],[Order_Date]])</f>
        <v>2023</v>
      </c>
    </row>
    <row r="331" spans="1:11" x14ac:dyDescent="0.3">
      <c r="A331">
        <v>1329</v>
      </c>
      <c r="B331" s="1">
        <v>45256</v>
      </c>
      <c r="C331" t="s">
        <v>15</v>
      </c>
      <c r="D331" t="s">
        <v>10</v>
      </c>
      <c r="E331" t="s">
        <v>17</v>
      </c>
      <c r="F331">
        <v>1758</v>
      </c>
      <c r="G331">
        <v>1814</v>
      </c>
      <c r="H331" t="s">
        <v>21</v>
      </c>
      <c r="I331" s="2">
        <v>-56</v>
      </c>
      <c r="J331" t="str">
        <f>TEXT(orders[[#All],[Order_Date]],"mmm")</f>
        <v>Nov</v>
      </c>
      <c r="K331">
        <f>YEAR(orders[[#This Row],[Order_Date]])</f>
        <v>2023</v>
      </c>
    </row>
    <row r="332" spans="1:11" x14ac:dyDescent="0.3">
      <c r="A332">
        <v>1330</v>
      </c>
      <c r="B332" s="1">
        <v>45257</v>
      </c>
      <c r="C332" t="s">
        <v>23</v>
      </c>
      <c r="D332" t="s">
        <v>10</v>
      </c>
      <c r="E332" t="s">
        <v>11</v>
      </c>
      <c r="F332">
        <v>2401</v>
      </c>
      <c r="G332">
        <v>1493</v>
      </c>
      <c r="H332" t="s">
        <v>12</v>
      </c>
      <c r="I332" s="2">
        <v>908</v>
      </c>
      <c r="J332" t="str">
        <f>TEXT(orders[[#All],[Order_Date]],"mmm")</f>
        <v>Nov</v>
      </c>
      <c r="K332">
        <f>YEAR(orders[[#This Row],[Order_Date]])</f>
        <v>2023</v>
      </c>
    </row>
    <row r="333" spans="1:11" x14ac:dyDescent="0.3">
      <c r="A333">
        <v>1331</v>
      </c>
      <c r="B333" s="1">
        <v>45258</v>
      </c>
      <c r="C333" t="s">
        <v>13</v>
      </c>
      <c r="D333" t="s">
        <v>10</v>
      </c>
      <c r="E333" t="s">
        <v>11</v>
      </c>
      <c r="F333">
        <v>3487</v>
      </c>
      <c r="G333">
        <v>1200</v>
      </c>
      <c r="H333" t="s">
        <v>12</v>
      </c>
      <c r="I333" s="2">
        <v>2287</v>
      </c>
      <c r="J333" t="str">
        <f>TEXT(orders[[#All],[Order_Date]],"mmm")</f>
        <v>Nov</v>
      </c>
      <c r="K333">
        <f>YEAR(orders[[#This Row],[Order_Date]])</f>
        <v>2023</v>
      </c>
    </row>
    <row r="334" spans="1:11" x14ac:dyDescent="0.3">
      <c r="A334">
        <v>1332</v>
      </c>
      <c r="B334" s="1">
        <v>45259</v>
      </c>
      <c r="C334" t="s">
        <v>15</v>
      </c>
      <c r="D334" t="s">
        <v>19</v>
      </c>
      <c r="E334" t="s">
        <v>17</v>
      </c>
      <c r="F334">
        <v>1094</v>
      </c>
      <c r="G334">
        <v>3339</v>
      </c>
      <c r="H334" t="s">
        <v>14</v>
      </c>
      <c r="I334" s="2">
        <v>-2245</v>
      </c>
      <c r="J334" t="str">
        <f>TEXT(orders[[#All],[Order_Date]],"mmm")</f>
        <v>Nov</v>
      </c>
      <c r="K334">
        <f>YEAR(orders[[#This Row],[Order_Date]])</f>
        <v>2023</v>
      </c>
    </row>
    <row r="335" spans="1:11" x14ac:dyDescent="0.3">
      <c r="A335">
        <v>1333</v>
      </c>
      <c r="B335" s="1">
        <v>45260</v>
      </c>
      <c r="C335" t="s">
        <v>13</v>
      </c>
      <c r="D335" t="s">
        <v>10</v>
      </c>
      <c r="E335" t="s">
        <v>11</v>
      </c>
      <c r="F335">
        <v>1986</v>
      </c>
      <c r="G335">
        <v>2097</v>
      </c>
      <c r="H335" t="s">
        <v>26</v>
      </c>
      <c r="I335" s="2">
        <v>-111</v>
      </c>
      <c r="J335" t="str">
        <f>TEXT(orders[[#All],[Order_Date]],"mmm")</f>
        <v>Nov</v>
      </c>
      <c r="K335">
        <f>YEAR(orders[[#This Row],[Order_Date]])</f>
        <v>2023</v>
      </c>
    </row>
    <row r="336" spans="1:11" x14ac:dyDescent="0.3">
      <c r="A336">
        <v>1334</v>
      </c>
      <c r="B336" s="1">
        <v>45261</v>
      </c>
      <c r="C336" t="s">
        <v>13</v>
      </c>
      <c r="D336" t="s">
        <v>19</v>
      </c>
      <c r="E336" t="s">
        <v>24</v>
      </c>
      <c r="F336">
        <v>601</v>
      </c>
      <c r="G336">
        <v>2649</v>
      </c>
      <c r="H336" t="s">
        <v>26</v>
      </c>
      <c r="I336" s="2">
        <v>-2048</v>
      </c>
      <c r="J336" t="str">
        <f>TEXT(orders[[#All],[Order_Date]],"mmm")</f>
        <v>Dec</v>
      </c>
      <c r="K336">
        <f>YEAR(orders[[#This Row],[Order_Date]])</f>
        <v>2023</v>
      </c>
    </row>
    <row r="337" spans="1:11" x14ac:dyDescent="0.3">
      <c r="A337">
        <v>1335</v>
      </c>
      <c r="B337" s="1">
        <v>45262</v>
      </c>
      <c r="C337" t="s">
        <v>15</v>
      </c>
      <c r="D337" t="s">
        <v>10</v>
      </c>
      <c r="E337" t="s">
        <v>20</v>
      </c>
      <c r="F337">
        <v>2924</v>
      </c>
      <c r="G337">
        <v>2509</v>
      </c>
      <c r="H337" t="s">
        <v>18</v>
      </c>
      <c r="I337" s="2">
        <v>415</v>
      </c>
      <c r="J337" t="str">
        <f>TEXT(orders[[#All],[Order_Date]],"mmm")</f>
        <v>Dec</v>
      </c>
      <c r="K337">
        <f>YEAR(orders[[#This Row],[Order_Date]])</f>
        <v>2023</v>
      </c>
    </row>
    <row r="338" spans="1:11" x14ac:dyDescent="0.3">
      <c r="A338">
        <v>1336</v>
      </c>
      <c r="B338" s="1">
        <v>45263</v>
      </c>
      <c r="C338" t="s">
        <v>15</v>
      </c>
      <c r="D338" t="s">
        <v>19</v>
      </c>
      <c r="E338" t="s">
        <v>25</v>
      </c>
      <c r="F338">
        <v>4780</v>
      </c>
      <c r="G338">
        <v>226</v>
      </c>
      <c r="H338" t="s">
        <v>21</v>
      </c>
      <c r="I338" s="2">
        <v>4554</v>
      </c>
      <c r="J338" t="str">
        <f>TEXT(orders[[#All],[Order_Date]],"mmm")</f>
        <v>Dec</v>
      </c>
      <c r="K338">
        <f>YEAR(orders[[#This Row],[Order_Date]])</f>
        <v>2023</v>
      </c>
    </row>
    <row r="339" spans="1:11" x14ac:dyDescent="0.3">
      <c r="A339">
        <v>1337</v>
      </c>
      <c r="B339" s="1">
        <v>45264</v>
      </c>
      <c r="C339" t="s">
        <v>15</v>
      </c>
      <c r="D339" t="s">
        <v>16</v>
      </c>
      <c r="E339" t="s">
        <v>11</v>
      </c>
      <c r="F339">
        <v>2582</v>
      </c>
      <c r="G339">
        <v>2951</v>
      </c>
      <c r="H339" t="s">
        <v>12</v>
      </c>
      <c r="I339" s="2">
        <v>-369</v>
      </c>
      <c r="J339" t="str">
        <f>TEXT(orders[[#All],[Order_Date]],"mmm")</f>
        <v>Dec</v>
      </c>
      <c r="K339">
        <f>YEAR(orders[[#This Row],[Order_Date]])</f>
        <v>2023</v>
      </c>
    </row>
    <row r="340" spans="1:11" x14ac:dyDescent="0.3">
      <c r="A340">
        <v>1338</v>
      </c>
      <c r="B340" s="1">
        <v>45265</v>
      </c>
      <c r="C340" t="s">
        <v>9</v>
      </c>
      <c r="D340" t="s">
        <v>19</v>
      </c>
      <c r="E340" t="s">
        <v>17</v>
      </c>
      <c r="F340">
        <v>1486</v>
      </c>
      <c r="G340">
        <v>1635</v>
      </c>
      <c r="H340" t="s">
        <v>26</v>
      </c>
      <c r="I340" s="2">
        <v>-149</v>
      </c>
      <c r="J340" t="str">
        <f>TEXT(orders[[#All],[Order_Date]],"mmm")</f>
        <v>Dec</v>
      </c>
      <c r="K340">
        <f>YEAR(orders[[#This Row],[Order_Date]])</f>
        <v>2023</v>
      </c>
    </row>
    <row r="341" spans="1:11" x14ac:dyDescent="0.3">
      <c r="A341">
        <v>1339</v>
      </c>
      <c r="B341" s="1">
        <v>45266</v>
      </c>
      <c r="C341" t="s">
        <v>23</v>
      </c>
      <c r="D341" t="s">
        <v>16</v>
      </c>
      <c r="E341" t="s">
        <v>25</v>
      </c>
      <c r="F341">
        <v>1023</v>
      </c>
      <c r="G341">
        <v>1973</v>
      </c>
      <c r="H341" t="s">
        <v>12</v>
      </c>
      <c r="I341" s="2">
        <v>-950</v>
      </c>
      <c r="J341" t="str">
        <f>TEXT(orders[[#All],[Order_Date]],"mmm")</f>
        <v>Dec</v>
      </c>
      <c r="K341">
        <f>YEAR(orders[[#This Row],[Order_Date]])</f>
        <v>2023</v>
      </c>
    </row>
    <row r="342" spans="1:11" x14ac:dyDescent="0.3">
      <c r="A342">
        <v>1340</v>
      </c>
      <c r="B342" s="1">
        <v>45267</v>
      </c>
      <c r="C342" t="s">
        <v>23</v>
      </c>
      <c r="D342" t="s">
        <v>19</v>
      </c>
      <c r="E342" t="s">
        <v>17</v>
      </c>
      <c r="F342">
        <v>3168</v>
      </c>
      <c r="G342">
        <v>725</v>
      </c>
      <c r="H342" t="s">
        <v>12</v>
      </c>
      <c r="I342" s="2">
        <v>2443</v>
      </c>
      <c r="J342" t="str">
        <f>TEXT(orders[[#All],[Order_Date]],"mmm")</f>
        <v>Dec</v>
      </c>
      <c r="K342">
        <f>YEAR(orders[[#This Row],[Order_Date]])</f>
        <v>2023</v>
      </c>
    </row>
    <row r="343" spans="1:11" x14ac:dyDescent="0.3">
      <c r="A343">
        <v>1341</v>
      </c>
      <c r="B343" s="1">
        <v>45268</v>
      </c>
      <c r="C343" t="s">
        <v>9</v>
      </c>
      <c r="D343" t="s">
        <v>16</v>
      </c>
      <c r="E343" t="s">
        <v>24</v>
      </c>
      <c r="F343">
        <v>3711</v>
      </c>
      <c r="G343">
        <v>3061</v>
      </c>
      <c r="H343" t="s">
        <v>21</v>
      </c>
      <c r="I343" s="2">
        <v>650</v>
      </c>
      <c r="J343" t="str">
        <f>TEXT(orders[[#All],[Order_Date]],"mmm")</f>
        <v>Dec</v>
      </c>
      <c r="K343">
        <f>YEAR(orders[[#This Row],[Order_Date]])</f>
        <v>2023</v>
      </c>
    </row>
    <row r="344" spans="1:11" x14ac:dyDescent="0.3">
      <c r="A344">
        <v>1342</v>
      </c>
      <c r="B344" s="1">
        <v>45269</v>
      </c>
      <c r="C344" t="s">
        <v>15</v>
      </c>
      <c r="D344" t="s">
        <v>19</v>
      </c>
      <c r="E344" t="s">
        <v>17</v>
      </c>
      <c r="F344">
        <v>2908</v>
      </c>
      <c r="G344">
        <v>3704</v>
      </c>
      <c r="H344" t="s">
        <v>12</v>
      </c>
      <c r="I344" s="2">
        <v>-796</v>
      </c>
      <c r="J344" t="str">
        <f>TEXT(orders[[#All],[Order_Date]],"mmm")</f>
        <v>Dec</v>
      </c>
      <c r="K344">
        <f>YEAR(orders[[#This Row],[Order_Date]])</f>
        <v>2023</v>
      </c>
    </row>
    <row r="345" spans="1:11" x14ac:dyDescent="0.3">
      <c r="A345">
        <v>1343</v>
      </c>
      <c r="B345" s="1">
        <v>45270</v>
      </c>
      <c r="C345" t="s">
        <v>15</v>
      </c>
      <c r="D345" t="s">
        <v>16</v>
      </c>
      <c r="E345" t="s">
        <v>20</v>
      </c>
      <c r="F345">
        <v>4466</v>
      </c>
      <c r="G345">
        <v>768</v>
      </c>
      <c r="H345" t="s">
        <v>14</v>
      </c>
      <c r="I345" s="2">
        <v>3698</v>
      </c>
      <c r="J345" t="str">
        <f>TEXT(orders[[#All],[Order_Date]],"mmm")</f>
        <v>Dec</v>
      </c>
      <c r="K345">
        <f>YEAR(orders[[#This Row],[Order_Date]])</f>
        <v>2023</v>
      </c>
    </row>
    <row r="346" spans="1:11" x14ac:dyDescent="0.3">
      <c r="A346">
        <v>1344</v>
      </c>
      <c r="B346" s="1">
        <v>45271</v>
      </c>
      <c r="C346" t="s">
        <v>9</v>
      </c>
      <c r="D346" t="s">
        <v>10</v>
      </c>
      <c r="E346" t="s">
        <v>24</v>
      </c>
      <c r="F346">
        <v>3749</v>
      </c>
      <c r="G346">
        <v>258</v>
      </c>
      <c r="H346" t="s">
        <v>14</v>
      </c>
      <c r="I346" s="2">
        <v>3491</v>
      </c>
      <c r="J346" t="str">
        <f>TEXT(orders[[#All],[Order_Date]],"mmm")</f>
        <v>Dec</v>
      </c>
      <c r="K346">
        <f>YEAR(orders[[#This Row],[Order_Date]])</f>
        <v>2023</v>
      </c>
    </row>
    <row r="347" spans="1:11" x14ac:dyDescent="0.3">
      <c r="A347">
        <v>1345</v>
      </c>
      <c r="B347" s="1">
        <v>45272</v>
      </c>
      <c r="C347" t="s">
        <v>13</v>
      </c>
      <c r="D347" t="s">
        <v>16</v>
      </c>
      <c r="E347" t="s">
        <v>11</v>
      </c>
      <c r="F347">
        <v>4544</v>
      </c>
      <c r="G347">
        <v>3289</v>
      </c>
      <c r="H347" t="s">
        <v>26</v>
      </c>
      <c r="I347" s="2">
        <v>1255</v>
      </c>
      <c r="J347" t="str">
        <f>TEXT(orders[[#All],[Order_Date]],"mmm")</f>
        <v>Dec</v>
      </c>
      <c r="K347">
        <f>YEAR(orders[[#This Row],[Order_Date]])</f>
        <v>2023</v>
      </c>
    </row>
    <row r="348" spans="1:11" x14ac:dyDescent="0.3">
      <c r="A348">
        <v>1346</v>
      </c>
      <c r="B348" s="1">
        <v>45273</v>
      </c>
      <c r="C348" t="s">
        <v>9</v>
      </c>
      <c r="D348" t="s">
        <v>19</v>
      </c>
      <c r="E348" t="s">
        <v>25</v>
      </c>
      <c r="F348">
        <v>4542</v>
      </c>
      <c r="G348">
        <v>1438</v>
      </c>
      <c r="H348" t="s">
        <v>26</v>
      </c>
      <c r="I348" s="2">
        <v>3104</v>
      </c>
      <c r="J348" t="str">
        <f>TEXT(orders[[#All],[Order_Date]],"mmm")</f>
        <v>Dec</v>
      </c>
      <c r="K348">
        <f>YEAR(orders[[#This Row],[Order_Date]])</f>
        <v>2023</v>
      </c>
    </row>
    <row r="349" spans="1:11" x14ac:dyDescent="0.3">
      <c r="A349">
        <v>1347</v>
      </c>
      <c r="B349" s="1">
        <v>45274</v>
      </c>
      <c r="C349" t="s">
        <v>9</v>
      </c>
      <c r="D349" t="s">
        <v>10</v>
      </c>
      <c r="E349" t="s">
        <v>22</v>
      </c>
      <c r="F349">
        <v>3711</v>
      </c>
      <c r="G349">
        <v>3111</v>
      </c>
      <c r="H349" t="s">
        <v>18</v>
      </c>
      <c r="I349" s="2">
        <v>600</v>
      </c>
      <c r="J349" t="str">
        <f>TEXT(orders[[#All],[Order_Date]],"mmm")</f>
        <v>Dec</v>
      </c>
      <c r="K349">
        <f>YEAR(orders[[#This Row],[Order_Date]])</f>
        <v>2023</v>
      </c>
    </row>
    <row r="350" spans="1:11" x14ac:dyDescent="0.3">
      <c r="A350">
        <v>1348</v>
      </c>
      <c r="B350" s="1">
        <v>45275</v>
      </c>
      <c r="C350" t="s">
        <v>13</v>
      </c>
      <c r="D350" t="s">
        <v>10</v>
      </c>
      <c r="E350" t="s">
        <v>20</v>
      </c>
      <c r="F350">
        <v>4032</v>
      </c>
      <c r="G350">
        <v>3233</v>
      </c>
      <c r="H350" t="s">
        <v>12</v>
      </c>
      <c r="I350" s="2">
        <v>799</v>
      </c>
      <c r="J350" t="str">
        <f>TEXT(orders[[#All],[Order_Date]],"mmm")</f>
        <v>Dec</v>
      </c>
      <c r="K350">
        <f>YEAR(orders[[#This Row],[Order_Date]])</f>
        <v>2023</v>
      </c>
    </row>
    <row r="351" spans="1:11" x14ac:dyDescent="0.3">
      <c r="A351">
        <v>1349</v>
      </c>
      <c r="B351" s="1">
        <v>45276</v>
      </c>
      <c r="C351" t="s">
        <v>23</v>
      </c>
      <c r="D351" t="s">
        <v>16</v>
      </c>
      <c r="E351" t="s">
        <v>25</v>
      </c>
      <c r="F351">
        <v>3301</v>
      </c>
      <c r="G351">
        <v>2468</v>
      </c>
      <c r="H351" t="s">
        <v>26</v>
      </c>
      <c r="I351" s="2">
        <v>833</v>
      </c>
      <c r="J351" t="str">
        <f>TEXT(orders[[#All],[Order_Date]],"mmm")</f>
        <v>Dec</v>
      </c>
      <c r="K351">
        <f>YEAR(orders[[#This Row],[Order_Date]])</f>
        <v>2023</v>
      </c>
    </row>
    <row r="352" spans="1:11" x14ac:dyDescent="0.3">
      <c r="A352">
        <v>1350</v>
      </c>
      <c r="B352" s="1">
        <v>45277</v>
      </c>
      <c r="C352" t="s">
        <v>15</v>
      </c>
      <c r="D352" t="s">
        <v>16</v>
      </c>
      <c r="E352" t="s">
        <v>22</v>
      </c>
      <c r="F352">
        <v>2916</v>
      </c>
      <c r="G352">
        <v>3477</v>
      </c>
      <c r="H352" t="s">
        <v>21</v>
      </c>
      <c r="I352" s="2">
        <v>-561</v>
      </c>
      <c r="J352" t="str">
        <f>TEXT(orders[[#All],[Order_Date]],"mmm")</f>
        <v>Dec</v>
      </c>
      <c r="K352">
        <f>YEAR(orders[[#This Row],[Order_Date]])</f>
        <v>2023</v>
      </c>
    </row>
    <row r="353" spans="1:11" x14ac:dyDescent="0.3">
      <c r="A353">
        <v>1351</v>
      </c>
      <c r="B353" s="1">
        <v>45278</v>
      </c>
      <c r="C353" t="s">
        <v>23</v>
      </c>
      <c r="D353" t="s">
        <v>10</v>
      </c>
      <c r="E353" t="s">
        <v>11</v>
      </c>
      <c r="F353">
        <v>2046</v>
      </c>
      <c r="G353">
        <v>591</v>
      </c>
      <c r="H353" t="s">
        <v>26</v>
      </c>
      <c r="I353" s="2">
        <v>1455</v>
      </c>
      <c r="J353" t="str">
        <f>TEXT(orders[[#All],[Order_Date]],"mmm")</f>
        <v>Dec</v>
      </c>
      <c r="K353">
        <f>YEAR(orders[[#This Row],[Order_Date]])</f>
        <v>2023</v>
      </c>
    </row>
    <row r="354" spans="1:11" x14ac:dyDescent="0.3">
      <c r="A354">
        <v>1352</v>
      </c>
      <c r="B354" s="1">
        <v>45279</v>
      </c>
      <c r="C354" t="s">
        <v>15</v>
      </c>
      <c r="D354" t="s">
        <v>16</v>
      </c>
      <c r="E354" t="s">
        <v>17</v>
      </c>
      <c r="F354">
        <v>1270</v>
      </c>
      <c r="G354">
        <v>2530</v>
      </c>
      <c r="H354" t="s">
        <v>14</v>
      </c>
      <c r="I354" s="2">
        <v>-1260</v>
      </c>
      <c r="J354" t="str">
        <f>TEXT(orders[[#All],[Order_Date]],"mmm")</f>
        <v>Dec</v>
      </c>
      <c r="K354">
        <f>YEAR(orders[[#This Row],[Order_Date]])</f>
        <v>2023</v>
      </c>
    </row>
    <row r="355" spans="1:11" x14ac:dyDescent="0.3">
      <c r="A355">
        <v>1353</v>
      </c>
      <c r="B355" s="1">
        <v>45280</v>
      </c>
      <c r="C355" t="s">
        <v>23</v>
      </c>
      <c r="D355" t="s">
        <v>10</v>
      </c>
      <c r="E355" t="s">
        <v>20</v>
      </c>
      <c r="F355">
        <v>1901</v>
      </c>
      <c r="G355">
        <v>2521</v>
      </c>
      <c r="H355" t="s">
        <v>12</v>
      </c>
      <c r="I355" s="2">
        <v>-620</v>
      </c>
      <c r="J355" t="str">
        <f>TEXT(orders[[#All],[Order_Date]],"mmm")</f>
        <v>Dec</v>
      </c>
      <c r="K355">
        <f>YEAR(orders[[#This Row],[Order_Date]])</f>
        <v>2023</v>
      </c>
    </row>
    <row r="356" spans="1:11" x14ac:dyDescent="0.3">
      <c r="A356">
        <v>1354</v>
      </c>
      <c r="B356" s="1">
        <v>45281</v>
      </c>
      <c r="C356" t="s">
        <v>9</v>
      </c>
      <c r="D356" t="s">
        <v>10</v>
      </c>
      <c r="E356" t="s">
        <v>20</v>
      </c>
      <c r="F356">
        <v>575</v>
      </c>
      <c r="G356">
        <v>2956</v>
      </c>
      <c r="H356" t="s">
        <v>14</v>
      </c>
      <c r="I356" s="2">
        <v>-2381</v>
      </c>
      <c r="J356" t="str">
        <f>TEXT(orders[[#All],[Order_Date]],"mmm")</f>
        <v>Dec</v>
      </c>
      <c r="K356">
        <f>YEAR(orders[[#This Row],[Order_Date]])</f>
        <v>2023</v>
      </c>
    </row>
    <row r="357" spans="1:11" x14ac:dyDescent="0.3">
      <c r="A357">
        <v>1355</v>
      </c>
      <c r="B357" s="1">
        <v>45282</v>
      </c>
      <c r="C357" t="s">
        <v>23</v>
      </c>
      <c r="D357" t="s">
        <v>16</v>
      </c>
      <c r="E357" t="s">
        <v>24</v>
      </c>
      <c r="F357">
        <v>2466</v>
      </c>
      <c r="G357">
        <v>1779</v>
      </c>
      <c r="H357" t="s">
        <v>26</v>
      </c>
      <c r="I357" s="2">
        <v>687</v>
      </c>
      <c r="J357" t="str">
        <f>TEXT(orders[[#All],[Order_Date]],"mmm")</f>
        <v>Dec</v>
      </c>
      <c r="K357">
        <f>YEAR(orders[[#This Row],[Order_Date]])</f>
        <v>2023</v>
      </c>
    </row>
    <row r="358" spans="1:11" x14ac:dyDescent="0.3">
      <c r="A358">
        <v>1356</v>
      </c>
      <c r="B358" s="1">
        <v>45283</v>
      </c>
      <c r="C358" t="s">
        <v>9</v>
      </c>
      <c r="D358" t="s">
        <v>16</v>
      </c>
      <c r="E358" t="s">
        <v>24</v>
      </c>
      <c r="F358">
        <v>3623</v>
      </c>
      <c r="G358">
        <v>2679</v>
      </c>
      <c r="H358" t="s">
        <v>26</v>
      </c>
      <c r="I358" s="2">
        <v>944</v>
      </c>
      <c r="J358" t="str">
        <f>TEXT(orders[[#All],[Order_Date]],"mmm")</f>
        <v>Dec</v>
      </c>
      <c r="K358">
        <f>YEAR(orders[[#This Row],[Order_Date]])</f>
        <v>2023</v>
      </c>
    </row>
    <row r="359" spans="1:11" x14ac:dyDescent="0.3">
      <c r="A359">
        <v>1357</v>
      </c>
      <c r="B359" s="1">
        <v>45284</v>
      </c>
      <c r="C359" t="s">
        <v>15</v>
      </c>
      <c r="D359" t="s">
        <v>19</v>
      </c>
      <c r="E359" t="s">
        <v>24</v>
      </c>
      <c r="F359">
        <v>4509</v>
      </c>
      <c r="G359">
        <v>2373</v>
      </c>
      <c r="H359" t="s">
        <v>14</v>
      </c>
      <c r="I359" s="2">
        <v>2136</v>
      </c>
      <c r="J359" t="str">
        <f>TEXT(orders[[#All],[Order_Date]],"mmm")</f>
        <v>Dec</v>
      </c>
      <c r="K359">
        <f>YEAR(orders[[#This Row],[Order_Date]])</f>
        <v>2023</v>
      </c>
    </row>
    <row r="360" spans="1:11" x14ac:dyDescent="0.3">
      <c r="A360">
        <v>1358</v>
      </c>
      <c r="B360" s="1">
        <v>45285</v>
      </c>
      <c r="C360" t="s">
        <v>15</v>
      </c>
      <c r="D360" t="s">
        <v>16</v>
      </c>
      <c r="E360" t="s">
        <v>11</v>
      </c>
      <c r="F360">
        <v>4590</v>
      </c>
      <c r="G360">
        <v>1572</v>
      </c>
      <c r="H360" t="s">
        <v>18</v>
      </c>
      <c r="I360" s="2">
        <v>3018</v>
      </c>
      <c r="J360" t="str">
        <f>TEXT(orders[[#All],[Order_Date]],"mmm")</f>
        <v>Dec</v>
      </c>
      <c r="K360">
        <f>YEAR(orders[[#This Row],[Order_Date]])</f>
        <v>2023</v>
      </c>
    </row>
    <row r="361" spans="1:11" x14ac:dyDescent="0.3">
      <c r="A361">
        <v>1359</v>
      </c>
      <c r="B361" s="1">
        <v>45286</v>
      </c>
      <c r="C361" t="s">
        <v>15</v>
      </c>
      <c r="D361" t="s">
        <v>10</v>
      </c>
      <c r="E361" t="s">
        <v>11</v>
      </c>
      <c r="F361">
        <v>4215</v>
      </c>
      <c r="G361">
        <v>3777</v>
      </c>
      <c r="H361" t="s">
        <v>18</v>
      </c>
      <c r="I361" s="2">
        <v>438</v>
      </c>
      <c r="J361" t="str">
        <f>TEXT(orders[[#All],[Order_Date]],"mmm")</f>
        <v>Dec</v>
      </c>
      <c r="K361">
        <f>YEAR(orders[[#This Row],[Order_Date]])</f>
        <v>2023</v>
      </c>
    </row>
    <row r="362" spans="1:11" x14ac:dyDescent="0.3">
      <c r="A362">
        <v>1360</v>
      </c>
      <c r="B362" s="1">
        <v>45287</v>
      </c>
      <c r="C362" t="s">
        <v>9</v>
      </c>
      <c r="D362" t="s">
        <v>10</v>
      </c>
      <c r="E362" t="s">
        <v>20</v>
      </c>
      <c r="F362">
        <v>2820</v>
      </c>
      <c r="G362">
        <v>3970</v>
      </c>
      <c r="H362" t="s">
        <v>26</v>
      </c>
      <c r="I362" s="2">
        <v>-1150</v>
      </c>
      <c r="J362" t="str">
        <f>TEXT(orders[[#All],[Order_Date]],"mmm")</f>
        <v>Dec</v>
      </c>
      <c r="K362">
        <f>YEAR(orders[[#This Row],[Order_Date]])</f>
        <v>2023</v>
      </c>
    </row>
    <row r="363" spans="1:11" x14ac:dyDescent="0.3">
      <c r="A363">
        <v>1361</v>
      </c>
      <c r="B363" s="1">
        <v>45288</v>
      </c>
      <c r="C363" t="s">
        <v>13</v>
      </c>
      <c r="D363" t="s">
        <v>19</v>
      </c>
      <c r="E363" t="s">
        <v>22</v>
      </c>
      <c r="F363">
        <v>4378</v>
      </c>
      <c r="G363">
        <v>2254</v>
      </c>
      <c r="H363" t="s">
        <v>18</v>
      </c>
      <c r="I363" s="2">
        <v>2124</v>
      </c>
      <c r="J363" t="str">
        <f>TEXT(orders[[#All],[Order_Date]],"mmm")</f>
        <v>Dec</v>
      </c>
      <c r="K363">
        <f>YEAR(orders[[#This Row],[Order_Date]])</f>
        <v>2023</v>
      </c>
    </row>
    <row r="364" spans="1:11" x14ac:dyDescent="0.3">
      <c r="A364">
        <v>1362</v>
      </c>
      <c r="B364" s="1">
        <v>45289</v>
      </c>
      <c r="C364" t="s">
        <v>9</v>
      </c>
      <c r="D364" t="s">
        <v>19</v>
      </c>
      <c r="E364" t="s">
        <v>25</v>
      </c>
      <c r="F364">
        <v>4856</v>
      </c>
      <c r="G364">
        <v>1103</v>
      </c>
      <c r="H364" t="s">
        <v>14</v>
      </c>
      <c r="I364" s="2">
        <v>3753</v>
      </c>
      <c r="J364" t="str">
        <f>TEXT(orders[[#All],[Order_Date]],"mmm")</f>
        <v>Dec</v>
      </c>
      <c r="K364">
        <f>YEAR(orders[[#This Row],[Order_Date]])</f>
        <v>2023</v>
      </c>
    </row>
    <row r="365" spans="1:11" x14ac:dyDescent="0.3">
      <c r="A365">
        <v>1363</v>
      </c>
      <c r="B365" s="1">
        <v>45290</v>
      </c>
      <c r="C365" t="s">
        <v>13</v>
      </c>
      <c r="D365" t="s">
        <v>10</v>
      </c>
      <c r="E365" t="s">
        <v>25</v>
      </c>
      <c r="F365">
        <v>1415</v>
      </c>
      <c r="G365">
        <v>2941</v>
      </c>
      <c r="H365" t="s">
        <v>12</v>
      </c>
      <c r="I365" s="2">
        <v>-1526</v>
      </c>
      <c r="J365" t="str">
        <f>TEXT(orders[[#All],[Order_Date]],"mmm")</f>
        <v>Dec</v>
      </c>
      <c r="K365">
        <f>YEAR(orders[[#This Row],[Order_Date]])</f>
        <v>2023</v>
      </c>
    </row>
    <row r="366" spans="1:11" x14ac:dyDescent="0.3">
      <c r="A366">
        <v>1364</v>
      </c>
      <c r="B366" s="1">
        <v>45291</v>
      </c>
      <c r="C366" t="s">
        <v>9</v>
      </c>
      <c r="D366" t="s">
        <v>19</v>
      </c>
      <c r="E366" t="s">
        <v>17</v>
      </c>
      <c r="F366">
        <v>3716</v>
      </c>
      <c r="G366">
        <v>1728</v>
      </c>
      <c r="H366" t="s">
        <v>26</v>
      </c>
      <c r="I366" s="2">
        <v>1988</v>
      </c>
      <c r="J366" t="str">
        <f>TEXT(orders[[#All],[Order_Date]],"mmm")</f>
        <v>Dec</v>
      </c>
      <c r="K366">
        <f>YEAR(orders[[#This Row],[Order_Date]])</f>
        <v>2023</v>
      </c>
    </row>
    <row r="367" spans="1:11" x14ac:dyDescent="0.3">
      <c r="A367">
        <v>1365</v>
      </c>
      <c r="B367" s="1">
        <v>45292</v>
      </c>
      <c r="C367" t="s">
        <v>9</v>
      </c>
      <c r="D367" t="s">
        <v>10</v>
      </c>
      <c r="E367" t="s">
        <v>22</v>
      </c>
      <c r="F367">
        <v>2930</v>
      </c>
      <c r="G367">
        <v>2274</v>
      </c>
      <c r="H367" t="s">
        <v>21</v>
      </c>
      <c r="I367" s="2">
        <v>656</v>
      </c>
      <c r="J367" t="str">
        <f>TEXT(orders[[#All],[Order_Date]],"mmm")</f>
        <v>Jan</v>
      </c>
      <c r="K367">
        <f>YEAR(orders[[#This Row],[Order_Date]])</f>
        <v>2024</v>
      </c>
    </row>
    <row r="368" spans="1:11" x14ac:dyDescent="0.3">
      <c r="A368">
        <v>1366</v>
      </c>
      <c r="B368" s="1">
        <v>45293</v>
      </c>
      <c r="C368" t="s">
        <v>9</v>
      </c>
      <c r="D368" t="s">
        <v>16</v>
      </c>
      <c r="E368" t="s">
        <v>11</v>
      </c>
      <c r="F368">
        <v>1164</v>
      </c>
      <c r="G368">
        <v>3907</v>
      </c>
      <c r="H368" t="s">
        <v>18</v>
      </c>
      <c r="I368" s="2">
        <v>-2743</v>
      </c>
      <c r="J368" t="str">
        <f>TEXT(orders[[#All],[Order_Date]],"mmm")</f>
        <v>Jan</v>
      </c>
      <c r="K368">
        <f>YEAR(orders[[#This Row],[Order_Date]])</f>
        <v>2024</v>
      </c>
    </row>
    <row r="369" spans="1:11" x14ac:dyDescent="0.3">
      <c r="A369">
        <v>1367</v>
      </c>
      <c r="B369" s="1">
        <v>45294</v>
      </c>
      <c r="C369" t="s">
        <v>9</v>
      </c>
      <c r="D369" t="s">
        <v>10</v>
      </c>
      <c r="E369" t="s">
        <v>11</v>
      </c>
      <c r="F369">
        <v>1791</v>
      </c>
      <c r="G369">
        <v>915</v>
      </c>
      <c r="H369" t="s">
        <v>18</v>
      </c>
      <c r="I369" s="2">
        <v>876</v>
      </c>
      <c r="J369" t="str">
        <f>TEXT(orders[[#All],[Order_Date]],"mmm")</f>
        <v>Jan</v>
      </c>
      <c r="K369">
        <f>YEAR(orders[[#This Row],[Order_Date]])</f>
        <v>2024</v>
      </c>
    </row>
    <row r="370" spans="1:11" x14ac:dyDescent="0.3">
      <c r="A370">
        <v>1368</v>
      </c>
      <c r="B370" s="1">
        <v>45295</v>
      </c>
      <c r="C370" t="s">
        <v>15</v>
      </c>
      <c r="D370" t="s">
        <v>19</v>
      </c>
      <c r="E370" t="s">
        <v>24</v>
      </c>
      <c r="F370">
        <v>650</v>
      </c>
      <c r="G370">
        <v>1317</v>
      </c>
      <c r="H370" t="s">
        <v>21</v>
      </c>
      <c r="I370" s="2">
        <v>-667</v>
      </c>
      <c r="J370" t="str">
        <f>TEXT(orders[[#All],[Order_Date]],"mmm")</f>
        <v>Jan</v>
      </c>
      <c r="K370">
        <f>YEAR(orders[[#This Row],[Order_Date]])</f>
        <v>2024</v>
      </c>
    </row>
    <row r="371" spans="1:11" x14ac:dyDescent="0.3">
      <c r="A371">
        <v>1369</v>
      </c>
      <c r="B371" s="1">
        <v>45296</v>
      </c>
      <c r="C371" t="s">
        <v>13</v>
      </c>
      <c r="D371" t="s">
        <v>16</v>
      </c>
      <c r="E371" t="s">
        <v>22</v>
      </c>
      <c r="F371">
        <v>4144</v>
      </c>
      <c r="G371">
        <v>633</v>
      </c>
      <c r="H371" t="s">
        <v>21</v>
      </c>
      <c r="I371" s="2">
        <v>3511</v>
      </c>
      <c r="J371" t="str">
        <f>TEXT(orders[[#All],[Order_Date]],"mmm")</f>
        <v>Jan</v>
      </c>
      <c r="K371">
        <f>YEAR(orders[[#This Row],[Order_Date]])</f>
        <v>2024</v>
      </c>
    </row>
    <row r="372" spans="1:11" x14ac:dyDescent="0.3">
      <c r="A372">
        <v>1370</v>
      </c>
      <c r="B372" s="1">
        <v>45297</v>
      </c>
      <c r="C372" t="s">
        <v>13</v>
      </c>
      <c r="D372" t="s">
        <v>10</v>
      </c>
      <c r="E372" t="s">
        <v>22</v>
      </c>
      <c r="F372">
        <v>1743</v>
      </c>
      <c r="G372">
        <v>3804</v>
      </c>
      <c r="H372" t="s">
        <v>14</v>
      </c>
      <c r="I372" s="2">
        <v>-2061</v>
      </c>
      <c r="J372" t="str">
        <f>TEXT(orders[[#All],[Order_Date]],"mmm")</f>
        <v>Jan</v>
      </c>
      <c r="K372">
        <f>YEAR(orders[[#This Row],[Order_Date]])</f>
        <v>2024</v>
      </c>
    </row>
    <row r="373" spans="1:11" x14ac:dyDescent="0.3">
      <c r="A373">
        <v>1371</v>
      </c>
      <c r="B373" s="1">
        <v>45298</v>
      </c>
      <c r="C373" t="s">
        <v>9</v>
      </c>
      <c r="D373" t="s">
        <v>10</v>
      </c>
      <c r="E373" t="s">
        <v>11</v>
      </c>
      <c r="F373">
        <v>2088</v>
      </c>
      <c r="G373">
        <v>677</v>
      </c>
      <c r="H373" t="s">
        <v>14</v>
      </c>
      <c r="I373" s="2">
        <v>1411</v>
      </c>
      <c r="J373" t="str">
        <f>TEXT(orders[[#All],[Order_Date]],"mmm")</f>
        <v>Jan</v>
      </c>
      <c r="K373">
        <f>YEAR(orders[[#This Row],[Order_Date]])</f>
        <v>2024</v>
      </c>
    </row>
    <row r="374" spans="1:11" x14ac:dyDescent="0.3">
      <c r="A374">
        <v>1372</v>
      </c>
      <c r="B374" s="1">
        <v>45299</v>
      </c>
      <c r="C374" t="s">
        <v>13</v>
      </c>
      <c r="D374" t="s">
        <v>19</v>
      </c>
      <c r="E374" t="s">
        <v>22</v>
      </c>
      <c r="F374">
        <v>2892</v>
      </c>
      <c r="G374">
        <v>3135</v>
      </c>
      <c r="H374" t="s">
        <v>18</v>
      </c>
      <c r="I374" s="2">
        <v>-243</v>
      </c>
      <c r="J374" t="str">
        <f>TEXT(orders[[#All],[Order_Date]],"mmm")</f>
        <v>Jan</v>
      </c>
      <c r="K374">
        <f>YEAR(orders[[#This Row],[Order_Date]])</f>
        <v>2024</v>
      </c>
    </row>
    <row r="375" spans="1:11" x14ac:dyDescent="0.3">
      <c r="A375">
        <v>1373</v>
      </c>
      <c r="B375" s="1">
        <v>45300</v>
      </c>
      <c r="C375" t="s">
        <v>23</v>
      </c>
      <c r="D375" t="s">
        <v>19</v>
      </c>
      <c r="E375" t="s">
        <v>24</v>
      </c>
      <c r="F375">
        <v>3465</v>
      </c>
      <c r="G375">
        <v>2688</v>
      </c>
      <c r="H375" t="s">
        <v>12</v>
      </c>
      <c r="I375" s="2">
        <v>777</v>
      </c>
      <c r="J375" t="str">
        <f>TEXT(orders[[#All],[Order_Date]],"mmm")</f>
        <v>Jan</v>
      </c>
      <c r="K375">
        <f>YEAR(orders[[#This Row],[Order_Date]])</f>
        <v>2024</v>
      </c>
    </row>
    <row r="376" spans="1:11" x14ac:dyDescent="0.3">
      <c r="A376">
        <v>1374</v>
      </c>
      <c r="B376" s="1">
        <v>45301</v>
      </c>
      <c r="C376" t="s">
        <v>23</v>
      </c>
      <c r="D376" t="s">
        <v>10</v>
      </c>
      <c r="E376" t="s">
        <v>24</v>
      </c>
      <c r="F376">
        <v>2963</v>
      </c>
      <c r="G376">
        <v>639</v>
      </c>
      <c r="H376" t="s">
        <v>14</v>
      </c>
      <c r="I376" s="2">
        <v>2324</v>
      </c>
      <c r="J376" t="str">
        <f>TEXT(orders[[#All],[Order_Date]],"mmm")</f>
        <v>Jan</v>
      </c>
      <c r="K376">
        <f>YEAR(orders[[#This Row],[Order_Date]])</f>
        <v>2024</v>
      </c>
    </row>
    <row r="377" spans="1:11" x14ac:dyDescent="0.3">
      <c r="A377">
        <v>1375</v>
      </c>
      <c r="B377" s="1">
        <v>45302</v>
      </c>
      <c r="C377" t="s">
        <v>15</v>
      </c>
      <c r="D377" t="s">
        <v>16</v>
      </c>
      <c r="E377" t="s">
        <v>20</v>
      </c>
      <c r="F377">
        <v>1255</v>
      </c>
      <c r="G377">
        <v>932</v>
      </c>
      <c r="H377" t="s">
        <v>14</v>
      </c>
      <c r="I377" s="2">
        <v>323</v>
      </c>
      <c r="J377" t="str">
        <f>TEXT(orders[[#All],[Order_Date]],"mmm")</f>
        <v>Jan</v>
      </c>
      <c r="K377">
        <f>YEAR(orders[[#This Row],[Order_Date]])</f>
        <v>2024</v>
      </c>
    </row>
    <row r="378" spans="1:11" x14ac:dyDescent="0.3">
      <c r="A378">
        <v>1376</v>
      </c>
      <c r="B378" s="1">
        <v>45303</v>
      </c>
      <c r="C378" t="s">
        <v>15</v>
      </c>
      <c r="D378" t="s">
        <v>19</v>
      </c>
      <c r="E378" t="s">
        <v>11</v>
      </c>
      <c r="F378">
        <v>4234</v>
      </c>
      <c r="G378">
        <v>351</v>
      </c>
      <c r="H378" t="s">
        <v>26</v>
      </c>
      <c r="I378" s="2">
        <v>3883</v>
      </c>
      <c r="J378" t="str">
        <f>TEXT(orders[[#All],[Order_Date]],"mmm")</f>
        <v>Jan</v>
      </c>
      <c r="K378">
        <f>YEAR(orders[[#This Row],[Order_Date]])</f>
        <v>2024</v>
      </c>
    </row>
    <row r="379" spans="1:11" x14ac:dyDescent="0.3">
      <c r="A379">
        <v>1377</v>
      </c>
      <c r="B379" s="1">
        <v>45304</v>
      </c>
      <c r="C379" t="s">
        <v>15</v>
      </c>
      <c r="D379" t="s">
        <v>16</v>
      </c>
      <c r="E379" t="s">
        <v>11</v>
      </c>
      <c r="F379">
        <v>4208</v>
      </c>
      <c r="G379">
        <v>2945</v>
      </c>
      <c r="H379" t="s">
        <v>26</v>
      </c>
      <c r="I379" s="2">
        <v>1263</v>
      </c>
      <c r="J379" t="str">
        <f>TEXT(orders[[#All],[Order_Date]],"mmm")</f>
        <v>Jan</v>
      </c>
      <c r="K379">
        <f>YEAR(orders[[#This Row],[Order_Date]])</f>
        <v>2024</v>
      </c>
    </row>
    <row r="380" spans="1:11" x14ac:dyDescent="0.3">
      <c r="A380">
        <v>1378</v>
      </c>
      <c r="B380" s="1">
        <v>45305</v>
      </c>
      <c r="C380" t="s">
        <v>23</v>
      </c>
      <c r="D380" t="s">
        <v>19</v>
      </c>
      <c r="E380" t="s">
        <v>22</v>
      </c>
      <c r="F380">
        <v>1822</v>
      </c>
      <c r="G380">
        <v>1873</v>
      </c>
      <c r="H380" t="s">
        <v>14</v>
      </c>
      <c r="I380" s="2">
        <v>-51</v>
      </c>
      <c r="J380" t="str">
        <f>TEXT(orders[[#All],[Order_Date]],"mmm")</f>
        <v>Jan</v>
      </c>
      <c r="K380">
        <f>YEAR(orders[[#This Row],[Order_Date]])</f>
        <v>2024</v>
      </c>
    </row>
    <row r="381" spans="1:11" x14ac:dyDescent="0.3">
      <c r="A381">
        <v>1379</v>
      </c>
      <c r="B381" s="1">
        <v>45306</v>
      </c>
      <c r="C381" t="s">
        <v>15</v>
      </c>
      <c r="D381" t="s">
        <v>16</v>
      </c>
      <c r="E381" t="s">
        <v>20</v>
      </c>
      <c r="F381">
        <v>3283</v>
      </c>
      <c r="G381">
        <v>2888</v>
      </c>
      <c r="H381" t="s">
        <v>12</v>
      </c>
      <c r="I381" s="2">
        <v>395</v>
      </c>
      <c r="J381" t="str">
        <f>TEXT(orders[[#All],[Order_Date]],"mmm")</f>
        <v>Jan</v>
      </c>
      <c r="K381">
        <f>YEAR(orders[[#This Row],[Order_Date]])</f>
        <v>2024</v>
      </c>
    </row>
    <row r="382" spans="1:11" x14ac:dyDescent="0.3">
      <c r="A382">
        <v>1380</v>
      </c>
      <c r="B382" s="1">
        <v>45307</v>
      </c>
      <c r="C382" t="s">
        <v>15</v>
      </c>
      <c r="D382" t="s">
        <v>10</v>
      </c>
      <c r="E382" t="s">
        <v>22</v>
      </c>
      <c r="F382">
        <v>810</v>
      </c>
      <c r="G382">
        <v>3886</v>
      </c>
      <c r="H382" t="s">
        <v>18</v>
      </c>
      <c r="I382" s="2">
        <v>-3076</v>
      </c>
      <c r="J382" t="str">
        <f>TEXT(orders[[#All],[Order_Date]],"mmm")</f>
        <v>Jan</v>
      </c>
      <c r="K382">
        <f>YEAR(orders[[#This Row],[Order_Date]])</f>
        <v>2024</v>
      </c>
    </row>
    <row r="383" spans="1:11" x14ac:dyDescent="0.3">
      <c r="A383">
        <v>1381</v>
      </c>
      <c r="B383" s="1">
        <v>45308</v>
      </c>
      <c r="C383" t="s">
        <v>9</v>
      </c>
      <c r="D383" t="s">
        <v>16</v>
      </c>
      <c r="E383" t="s">
        <v>20</v>
      </c>
      <c r="F383">
        <v>3142</v>
      </c>
      <c r="G383">
        <v>603</v>
      </c>
      <c r="H383" t="s">
        <v>21</v>
      </c>
      <c r="I383" s="2">
        <v>2539</v>
      </c>
      <c r="J383" t="str">
        <f>TEXT(orders[[#All],[Order_Date]],"mmm")</f>
        <v>Jan</v>
      </c>
      <c r="K383">
        <f>YEAR(orders[[#This Row],[Order_Date]])</f>
        <v>2024</v>
      </c>
    </row>
    <row r="384" spans="1:11" x14ac:dyDescent="0.3">
      <c r="A384">
        <v>1382</v>
      </c>
      <c r="B384" s="1">
        <v>45309</v>
      </c>
      <c r="C384" t="s">
        <v>15</v>
      </c>
      <c r="D384" t="s">
        <v>10</v>
      </c>
      <c r="E384" t="s">
        <v>20</v>
      </c>
      <c r="F384">
        <v>4363</v>
      </c>
      <c r="G384">
        <v>2703</v>
      </c>
      <c r="H384" t="s">
        <v>14</v>
      </c>
      <c r="I384" s="2">
        <v>1660</v>
      </c>
      <c r="J384" t="str">
        <f>TEXT(orders[[#All],[Order_Date]],"mmm")</f>
        <v>Jan</v>
      </c>
      <c r="K384">
        <f>YEAR(orders[[#This Row],[Order_Date]])</f>
        <v>2024</v>
      </c>
    </row>
    <row r="385" spans="1:11" x14ac:dyDescent="0.3">
      <c r="A385">
        <v>1383</v>
      </c>
      <c r="B385" s="1">
        <v>45310</v>
      </c>
      <c r="C385" t="s">
        <v>23</v>
      </c>
      <c r="D385" t="s">
        <v>16</v>
      </c>
      <c r="E385" t="s">
        <v>20</v>
      </c>
      <c r="F385">
        <v>801</v>
      </c>
      <c r="G385">
        <v>3322</v>
      </c>
      <c r="H385" t="s">
        <v>12</v>
      </c>
      <c r="I385" s="2">
        <v>-2521</v>
      </c>
      <c r="J385" t="str">
        <f>TEXT(orders[[#All],[Order_Date]],"mmm")</f>
        <v>Jan</v>
      </c>
      <c r="K385">
        <f>YEAR(orders[[#This Row],[Order_Date]])</f>
        <v>2024</v>
      </c>
    </row>
    <row r="386" spans="1:11" x14ac:dyDescent="0.3">
      <c r="A386">
        <v>1384</v>
      </c>
      <c r="B386" s="1">
        <v>45311</v>
      </c>
      <c r="C386" t="s">
        <v>15</v>
      </c>
      <c r="D386" t="s">
        <v>10</v>
      </c>
      <c r="E386" t="s">
        <v>25</v>
      </c>
      <c r="F386">
        <v>2471</v>
      </c>
      <c r="G386">
        <v>2798</v>
      </c>
      <c r="H386" t="s">
        <v>12</v>
      </c>
      <c r="I386" s="2">
        <v>-327</v>
      </c>
      <c r="J386" t="str">
        <f>TEXT(orders[[#All],[Order_Date]],"mmm")</f>
        <v>Jan</v>
      </c>
      <c r="K386">
        <f>YEAR(orders[[#This Row],[Order_Date]])</f>
        <v>2024</v>
      </c>
    </row>
    <row r="387" spans="1:11" x14ac:dyDescent="0.3">
      <c r="A387">
        <v>1385</v>
      </c>
      <c r="B387" s="1">
        <v>45312</v>
      </c>
      <c r="C387" t="s">
        <v>15</v>
      </c>
      <c r="D387" t="s">
        <v>10</v>
      </c>
      <c r="E387" t="s">
        <v>22</v>
      </c>
      <c r="F387">
        <v>1839</v>
      </c>
      <c r="G387">
        <v>3211</v>
      </c>
      <c r="H387" t="s">
        <v>12</v>
      </c>
      <c r="I387" s="2">
        <v>-1372</v>
      </c>
      <c r="J387" t="str">
        <f>TEXT(orders[[#All],[Order_Date]],"mmm")</f>
        <v>Jan</v>
      </c>
      <c r="K387">
        <f>YEAR(orders[[#This Row],[Order_Date]])</f>
        <v>2024</v>
      </c>
    </row>
    <row r="388" spans="1:11" x14ac:dyDescent="0.3">
      <c r="A388">
        <v>1386</v>
      </c>
      <c r="B388" s="1">
        <v>45313</v>
      </c>
      <c r="C388" t="s">
        <v>9</v>
      </c>
      <c r="D388" t="s">
        <v>16</v>
      </c>
      <c r="E388" t="s">
        <v>22</v>
      </c>
      <c r="F388">
        <v>2464</v>
      </c>
      <c r="G388">
        <v>1988</v>
      </c>
      <c r="H388" t="s">
        <v>14</v>
      </c>
      <c r="I388" s="2">
        <v>476</v>
      </c>
      <c r="J388" t="str">
        <f>TEXT(orders[[#All],[Order_Date]],"mmm")</f>
        <v>Jan</v>
      </c>
      <c r="K388">
        <f>YEAR(orders[[#This Row],[Order_Date]])</f>
        <v>2024</v>
      </c>
    </row>
    <row r="389" spans="1:11" x14ac:dyDescent="0.3">
      <c r="A389">
        <v>1387</v>
      </c>
      <c r="B389" s="1">
        <v>45314</v>
      </c>
      <c r="C389" t="s">
        <v>9</v>
      </c>
      <c r="D389" t="s">
        <v>19</v>
      </c>
      <c r="E389" t="s">
        <v>17</v>
      </c>
      <c r="F389">
        <v>1678</v>
      </c>
      <c r="G389">
        <v>3686</v>
      </c>
      <c r="H389" t="s">
        <v>14</v>
      </c>
      <c r="I389" s="2">
        <v>-2008</v>
      </c>
      <c r="J389" t="str">
        <f>TEXT(orders[[#All],[Order_Date]],"mmm")</f>
        <v>Jan</v>
      </c>
      <c r="K389">
        <f>YEAR(orders[[#This Row],[Order_Date]])</f>
        <v>2024</v>
      </c>
    </row>
    <row r="390" spans="1:11" x14ac:dyDescent="0.3">
      <c r="A390">
        <v>1388</v>
      </c>
      <c r="B390" s="1">
        <v>45315</v>
      </c>
      <c r="C390" t="s">
        <v>15</v>
      </c>
      <c r="D390" t="s">
        <v>10</v>
      </c>
      <c r="E390" t="s">
        <v>20</v>
      </c>
      <c r="F390">
        <v>4204</v>
      </c>
      <c r="G390">
        <v>3821</v>
      </c>
      <c r="H390" t="s">
        <v>12</v>
      </c>
      <c r="I390" s="2">
        <v>383</v>
      </c>
      <c r="J390" t="str">
        <f>TEXT(orders[[#All],[Order_Date]],"mmm")</f>
        <v>Jan</v>
      </c>
      <c r="K390">
        <f>YEAR(orders[[#This Row],[Order_Date]])</f>
        <v>2024</v>
      </c>
    </row>
    <row r="391" spans="1:11" x14ac:dyDescent="0.3">
      <c r="A391">
        <v>1389</v>
      </c>
      <c r="B391" s="1">
        <v>45316</v>
      </c>
      <c r="C391" t="s">
        <v>15</v>
      </c>
      <c r="D391" t="s">
        <v>16</v>
      </c>
      <c r="E391" t="s">
        <v>11</v>
      </c>
      <c r="F391">
        <v>3177</v>
      </c>
      <c r="G391">
        <v>2176</v>
      </c>
      <c r="H391" t="s">
        <v>12</v>
      </c>
      <c r="I391" s="2">
        <v>1001</v>
      </c>
      <c r="J391" t="str">
        <f>TEXT(orders[[#All],[Order_Date]],"mmm")</f>
        <v>Jan</v>
      </c>
      <c r="K391">
        <f>YEAR(orders[[#This Row],[Order_Date]])</f>
        <v>2024</v>
      </c>
    </row>
    <row r="392" spans="1:11" x14ac:dyDescent="0.3">
      <c r="A392">
        <v>1390</v>
      </c>
      <c r="B392" s="1">
        <v>45317</v>
      </c>
      <c r="C392" t="s">
        <v>23</v>
      </c>
      <c r="D392" t="s">
        <v>10</v>
      </c>
      <c r="E392" t="s">
        <v>22</v>
      </c>
      <c r="F392">
        <v>916</v>
      </c>
      <c r="G392">
        <v>2118</v>
      </c>
      <c r="H392" t="s">
        <v>14</v>
      </c>
      <c r="I392" s="2">
        <v>-1202</v>
      </c>
      <c r="J392" t="str">
        <f>TEXT(orders[[#All],[Order_Date]],"mmm")</f>
        <v>Jan</v>
      </c>
      <c r="K392">
        <f>YEAR(orders[[#This Row],[Order_Date]])</f>
        <v>2024</v>
      </c>
    </row>
    <row r="393" spans="1:11" x14ac:dyDescent="0.3">
      <c r="A393">
        <v>1391</v>
      </c>
      <c r="B393" s="1">
        <v>45318</v>
      </c>
      <c r="C393" t="s">
        <v>13</v>
      </c>
      <c r="D393" t="s">
        <v>10</v>
      </c>
      <c r="E393" t="s">
        <v>17</v>
      </c>
      <c r="F393">
        <v>2322</v>
      </c>
      <c r="G393">
        <v>845</v>
      </c>
      <c r="H393" t="s">
        <v>18</v>
      </c>
      <c r="I393" s="2">
        <v>1477</v>
      </c>
      <c r="J393" t="str">
        <f>TEXT(orders[[#All],[Order_Date]],"mmm")</f>
        <v>Jan</v>
      </c>
      <c r="K393">
        <f>YEAR(orders[[#This Row],[Order_Date]])</f>
        <v>2024</v>
      </c>
    </row>
    <row r="394" spans="1:11" x14ac:dyDescent="0.3">
      <c r="A394">
        <v>1392</v>
      </c>
      <c r="B394" s="1">
        <v>45319</v>
      </c>
      <c r="C394" t="s">
        <v>13</v>
      </c>
      <c r="D394" t="s">
        <v>16</v>
      </c>
      <c r="E394" t="s">
        <v>22</v>
      </c>
      <c r="F394">
        <v>3899</v>
      </c>
      <c r="G394">
        <v>259</v>
      </c>
      <c r="H394" t="s">
        <v>14</v>
      </c>
      <c r="I394" s="2">
        <v>3640</v>
      </c>
      <c r="J394" t="str">
        <f>TEXT(orders[[#All],[Order_Date]],"mmm")</f>
        <v>Jan</v>
      </c>
      <c r="K394">
        <f>YEAR(orders[[#This Row],[Order_Date]])</f>
        <v>2024</v>
      </c>
    </row>
    <row r="395" spans="1:11" x14ac:dyDescent="0.3">
      <c r="A395">
        <v>1393</v>
      </c>
      <c r="B395" s="1">
        <v>45320</v>
      </c>
      <c r="C395" t="s">
        <v>15</v>
      </c>
      <c r="D395" t="s">
        <v>10</v>
      </c>
      <c r="E395" t="s">
        <v>11</v>
      </c>
      <c r="F395">
        <v>4692</v>
      </c>
      <c r="G395">
        <v>1698</v>
      </c>
      <c r="H395" t="s">
        <v>26</v>
      </c>
      <c r="I395" s="2">
        <v>2994</v>
      </c>
      <c r="J395" t="str">
        <f>TEXT(orders[[#All],[Order_Date]],"mmm")</f>
        <v>Jan</v>
      </c>
      <c r="K395">
        <f>YEAR(orders[[#This Row],[Order_Date]])</f>
        <v>2024</v>
      </c>
    </row>
    <row r="396" spans="1:11" x14ac:dyDescent="0.3">
      <c r="A396">
        <v>1394</v>
      </c>
      <c r="B396" s="1">
        <v>45321</v>
      </c>
      <c r="C396" t="s">
        <v>13</v>
      </c>
      <c r="D396" t="s">
        <v>19</v>
      </c>
      <c r="E396" t="s">
        <v>25</v>
      </c>
      <c r="F396">
        <v>2225</v>
      </c>
      <c r="G396">
        <v>645</v>
      </c>
      <c r="H396" t="s">
        <v>12</v>
      </c>
      <c r="I396" s="2">
        <v>1580</v>
      </c>
      <c r="J396" t="str">
        <f>TEXT(orders[[#All],[Order_Date]],"mmm")</f>
        <v>Jan</v>
      </c>
      <c r="K396">
        <f>YEAR(orders[[#This Row],[Order_Date]])</f>
        <v>2024</v>
      </c>
    </row>
    <row r="397" spans="1:11" x14ac:dyDescent="0.3">
      <c r="A397">
        <v>1395</v>
      </c>
      <c r="B397" s="1">
        <v>45322</v>
      </c>
      <c r="C397" t="s">
        <v>13</v>
      </c>
      <c r="D397" t="s">
        <v>16</v>
      </c>
      <c r="E397" t="s">
        <v>20</v>
      </c>
      <c r="F397">
        <v>1013</v>
      </c>
      <c r="G397">
        <v>2023</v>
      </c>
      <c r="H397" t="s">
        <v>18</v>
      </c>
      <c r="I397" s="2">
        <v>-1010</v>
      </c>
      <c r="J397" t="str">
        <f>TEXT(orders[[#All],[Order_Date]],"mmm")</f>
        <v>Jan</v>
      </c>
      <c r="K397">
        <f>YEAR(orders[[#This Row],[Order_Date]])</f>
        <v>2024</v>
      </c>
    </row>
    <row r="398" spans="1:11" x14ac:dyDescent="0.3">
      <c r="A398">
        <v>1396</v>
      </c>
      <c r="B398" s="1">
        <v>45323</v>
      </c>
      <c r="C398" t="s">
        <v>13</v>
      </c>
      <c r="D398" t="s">
        <v>10</v>
      </c>
      <c r="E398" t="s">
        <v>20</v>
      </c>
      <c r="F398">
        <v>4074</v>
      </c>
      <c r="G398">
        <v>1166</v>
      </c>
      <c r="H398" t="s">
        <v>21</v>
      </c>
      <c r="I398" s="2">
        <v>2908</v>
      </c>
      <c r="J398" t="str">
        <f>TEXT(orders[[#All],[Order_Date]],"mmm")</f>
        <v>Feb</v>
      </c>
      <c r="K398">
        <f>YEAR(orders[[#This Row],[Order_Date]])</f>
        <v>2024</v>
      </c>
    </row>
    <row r="399" spans="1:11" x14ac:dyDescent="0.3">
      <c r="A399">
        <v>1397</v>
      </c>
      <c r="B399" s="1">
        <v>45324</v>
      </c>
      <c r="C399" t="s">
        <v>23</v>
      </c>
      <c r="D399" t="s">
        <v>16</v>
      </c>
      <c r="E399" t="s">
        <v>24</v>
      </c>
      <c r="F399">
        <v>2913</v>
      </c>
      <c r="G399">
        <v>2593</v>
      </c>
      <c r="H399" t="s">
        <v>14</v>
      </c>
      <c r="I399" s="2">
        <v>320</v>
      </c>
      <c r="J399" t="str">
        <f>TEXT(orders[[#All],[Order_Date]],"mmm")</f>
        <v>Feb</v>
      </c>
      <c r="K399">
        <f>YEAR(orders[[#This Row],[Order_Date]])</f>
        <v>2024</v>
      </c>
    </row>
    <row r="400" spans="1:11" x14ac:dyDescent="0.3">
      <c r="A400">
        <v>1398</v>
      </c>
      <c r="B400" s="1">
        <v>45325</v>
      </c>
      <c r="C400" t="s">
        <v>23</v>
      </c>
      <c r="D400" t="s">
        <v>16</v>
      </c>
      <c r="E400" t="s">
        <v>11</v>
      </c>
      <c r="F400">
        <v>3690</v>
      </c>
      <c r="G400">
        <v>3475</v>
      </c>
      <c r="H400" t="s">
        <v>12</v>
      </c>
      <c r="I400" s="2">
        <v>215</v>
      </c>
      <c r="J400" t="str">
        <f>TEXT(orders[[#All],[Order_Date]],"mmm")</f>
        <v>Feb</v>
      </c>
      <c r="K400">
        <f>YEAR(orders[[#This Row],[Order_Date]])</f>
        <v>2024</v>
      </c>
    </row>
    <row r="401" spans="1:11" x14ac:dyDescent="0.3">
      <c r="A401">
        <v>1399</v>
      </c>
      <c r="B401" s="1">
        <v>45326</v>
      </c>
      <c r="C401" t="s">
        <v>15</v>
      </c>
      <c r="D401" t="s">
        <v>19</v>
      </c>
      <c r="E401" t="s">
        <v>11</v>
      </c>
      <c r="F401">
        <v>3022</v>
      </c>
      <c r="G401">
        <v>1881</v>
      </c>
      <c r="H401" t="s">
        <v>14</v>
      </c>
      <c r="I401" s="2">
        <v>1141</v>
      </c>
      <c r="J401" t="str">
        <f>TEXT(orders[[#All],[Order_Date]],"mmm")</f>
        <v>Feb</v>
      </c>
      <c r="K401">
        <f>YEAR(orders[[#This Row],[Order_Date]])</f>
        <v>2024</v>
      </c>
    </row>
    <row r="402" spans="1:11" x14ac:dyDescent="0.3">
      <c r="A402">
        <v>1400</v>
      </c>
      <c r="B402" s="1">
        <v>45327</v>
      </c>
      <c r="C402" t="s">
        <v>23</v>
      </c>
      <c r="D402" t="s">
        <v>16</v>
      </c>
      <c r="E402" t="s">
        <v>17</v>
      </c>
      <c r="F402">
        <v>1539</v>
      </c>
      <c r="G402">
        <v>3303</v>
      </c>
      <c r="H402" t="s">
        <v>21</v>
      </c>
      <c r="I402" s="2">
        <v>-1764</v>
      </c>
      <c r="J402" t="str">
        <f>TEXT(orders[[#All],[Order_Date]],"mmm")</f>
        <v>Feb</v>
      </c>
      <c r="K402">
        <f>YEAR(orders[[#This Row],[Order_Date]])</f>
        <v>2024</v>
      </c>
    </row>
    <row r="403" spans="1:11" x14ac:dyDescent="0.3">
      <c r="A403">
        <v>1401</v>
      </c>
      <c r="B403" s="1">
        <v>45328</v>
      </c>
      <c r="C403" t="s">
        <v>13</v>
      </c>
      <c r="D403" t="s">
        <v>16</v>
      </c>
      <c r="E403" t="s">
        <v>17</v>
      </c>
      <c r="F403">
        <v>1726</v>
      </c>
      <c r="G403">
        <v>871</v>
      </c>
      <c r="H403" t="s">
        <v>14</v>
      </c>
      <c r="I403" s="2">
        <v>855</v>
      </c>
      <c r="J403" t="str">
        <f>TEXT(orders[[#All],[Order_Date]],"mmm")</f>
        <v>Feb</v>
      </c>
      <c r="K403">
        <f>YEAR(orders[[#This Row],[Order_Date]])</f>
        <v>2024</v>
      </c>
    </row>
    <row r="404" spans="1:11" x14ac:dyDescent="0.3">
      <c r="A404">
        <v>1402</v>
      </c>
      <c r="B404" s="1">
        <v>45329</v>
      </c>
      <c r="C404" t="s">
        <v>23</v>
      </c>
      <c r="D404" t="s">
        <v>16</v>
      </c>
      <c r="E404" t="s">
        <v>17</v>
      </c>
      <c r="F404">
        <v>4251</v>
      </c>
      <c r="G404">
        <v>284</v>
      </c>
      <c r="H404" t="s">
        <v>18</v>
      </c>
      <c r="I404" s="2">
        <v>3967</v>
      </c>
      <c r="J404" t="str">
        <f>TEXT(orders[[#All],[Order_Date]],"mmm")</f>
        <v>Feb</v>
      </c>
      <c r="K404">
        <f>YEAR(orders[[#This Row],[Order_Date]])</f>
        <v>2024</v>
      </c>
    </row>
    <row r="405" spans="1:11" x14ac:dyDescent="0.3">
      <c r="A405">
        <v>1403</v>
      </c>
      <c r="B405" s="1">
        <v>45330</v>
      </c>
      <c r="C405" t="s">
        <v>9</v>
      </c>
      <c r="D405" t="s">
        <v>16</v>
      </c>
      <c r="E405" t="s">
        <v>25</v>
      </c>
      <c r="F405">
        <v>606</v>
      </c>
      <c r="G405">
        <v>290</v>
      </c>
      <c r="H405" t="s">
        <v>21</v>
      </c>
      <c r="I405" s="2">
        <v>316</v>
      </c>
      <c r="J405" t="str">
        <f>TEXT(orders[[#All],[Order_Date]],"mmm")</f>
        <v>Feb</v>
      </c>
      <c r="K405">
        <f>YEAR(orders[[#This Row],[Order_Date]])</f>
        <v>2024</v>
      </c>
    </row>
    <row r="406" spans="1:11" x14ac:dyDescent="0.3">
      <c r="A406">
        <v>1404</v>
      </c>
      <c r="B406" s="1">
        <v>45331</v>
      </c>
      <c r="C406" t="s">
        <v>13</v>
      </c>
      <c r="D406" t="s">
        <v>16</v>
      </c>
      <c r="E406" t="s">
        <v>17</v>
      </c>
      <c r="F406">
        <v>4852</v>
      </c>
      <c r="G406">
        <v>1263</v>
      </c>
      <c r="H406" t="s">
        <v>26</v>
      </c>
      <c r="I406" s="2">
        <v>3589</v>
      </c>
      <c r="J406" t="str">
        <f>TEXT(orders[[#All],[Order_Date]],"mmm")</f>
        <v>Feb</v>
      </c>
      <c r="K406">
        <f>YEAR(orders[[#This Row],[Order_Date]])</f>
        <v>2024</v>
      </c>
    </row>
    <row r="407" spans="1:11" x14ac:dyDescent="0.3">
      <c r="A407">
        <v>1405</v>
      </c>
      <c r="B407" s="1">
        <v>45332</v>
      </c>
      <c r="C407" t="s">
        <v>13</v>
      </c>
      <c r="D407" t="s">
        <v>10</v>
      </c>
      <c r="E407" t="s">
        <v>11</v>
      </c>
      <c r="F407">
        <v>2117</v>
      </c>
      <c r="G407">
        <v>957</v>
      </c>
      <c r="H407" t="s">
        <v>26</v>
      </c>
      <c r="I407" s="2">
        <v>1160</v>
      </c>
      <c r="J407" t="str">
        <f>TEXT(orders[[#All],[Order_Date]],"mmm")</f>
        <v>Feb</v>
      </c>
      <c r="K407">
        <f>YEAR(orders[[#This Row],[Order_Date]])</f>
        <v>2024</v>
      </c>
    </row>
    <row r="408" spans="1:11" x14ac:dyDescent="0.3">
      <c r="A408">
        <v>1406</v>
      </c>
      <c r="B408" s="1">
        <v>45333</v>
      </c>
      <c r="C408" t="s">
        <v>15</v>
      </c>
      <c r="D408" t="s">
        <v>16</v>
      </c>
      <c r="E408" t="s">
        <v>17</v>
      </c>
      <c r="F408">
        <v>3758</v>
      </c>
      <c r="G408">
        <v>2426</v>
      </c>
      <c r="H408" t="s">
        <v>12</v>
      </c>
      <c r="I408" s="2">
        <v>1332</v>
      </c>
      <c r="J408" t="str">
        <f>TEXT(orders[[#All],[Order_Date]],"mmm")</f>
        <v>Feb</v>
      </c>
      <c r="K408">
        <f>YEAR(orders[[#This Row],[Order_Date]])</f>
        <v>2024</v>
      </c>
    </row>
    <row r="409" spans="1:11" x14ac:dyDescent="0.3">
      <c r="A409">
        <v>1407</v>
      </c>
      <c r="B409" s="1">
        <v>45334</v>
      </c>
      <c r="C409" t="s">
        <v>15</v>
      </c>
      <c r="D409" t="s">
        <v>10</v>
      </c>
      <c r="E409" t="s">
        <v>22</v>
      </c>
      <c r="F409">
        <v>3584</v>
      </c>
      <c r="G409">
        <v>1810</v>
      </c>
      <c r="H409" t="s">
        <v>26</v>
      </c>
      <c r="I409" s="2">
        <v>1774</v>
      </c>
      <c r="J409" t="str">
        <f>TEXT(orders[[#All],[Order_Date]],"mmm")</f>
        <v>Feb</v>
      </c>
      <c r="K409">
        <f>YEAR(orders[[#This Row],[Order_Date]])</f>
        <v>2024</v>
      </c>
    </row>
    <row r="410" spans="1:11" x14ac:dyDescent="0.3">
      <c r="A410">
        <v>1408</v>
      </c>
      <c r="B410" s="1">
        <v>45335</v>
      </c>
      <c r="C410" t="s">
        <v>15</v>
      </c>
      <c r="D410" t="s">
        <v>10</v>
      </c>
      <c r="E410" t="s">
        <v>22</v>
      </c>
      <c r="F410">
        <v>931</v>
      </c>
      <c r="G410">
        <v>2542</v>
      </c>
      <c r="H410" t="s">
        <v>14</v>
      </c>
      <c r="I410" s="2">
        <v>-1611</v>
      </c>
      <c r="J410" t="str">
        <f>TEXT(orders[[#All],[Order_Date]],"mmm")</f>
        <v>Feb</v>
      </c>
      <c r="K410">
        <f>YEAR(orders[[#This Row],[Order_Date]])</f>
        <v>2024</v>
      </c>
    </row>
    <row r="411" spans="1:11" x14ac:dyDescent="0.3">
      <c r="A411">
        <v>1409</v>
      </c>
      <c r="B411" s="1">
        <v>45336</v>
      </c>
      <c r="C411" t="s">
        <v>23</v>
      </c>
      <c r="D411" t="s">
        <v>19</v>
      </c>
      <c r="E411" t="s">
        <v>24</v>
      </c>
      <c r="F411">
        <v>1290</v>
      </c>
      <c r="G411">
        <v>2828</v>
      </c>
      <c r="H411" t="s">
        <v>18</v>
      </c>
      <c r="I411" s="2">
        <v>-1538</v>
      </c>
      <c r="J411" t="str">
        <f>TEXT(orders[[#All],[Order_Date]],"mmm")</f>
        <v>Feb</v>
      </c>
      <c r="K411">
        <f>YEAR(orders[[#This Row],[Order_Date]])</f>
        <v>2024</v>
      </c>
    </row>
    <row r="412" spans="1:11" x14ac:dyDescent="0.3">
      <c r="A412">
        <v>1410</v>
      </c>
      <c r="B412" s="1">
        <v>45337</v>
      </c>
      <c r="C412" t="s">
        <v>15</v>
      </c>
      <c r="D412" t="s">
        <v>19</v>
      </c>
      <c r="E412" t="s">
        <v>22</v>
      </c>
      <c r="F412">
        <v>4968</v>
      </c>
      <c r="G412">
        <v>2627</v>
      </c>
      <c r="H412" t="s">
        <v>26</v>
      </c>
      <c r="I412" s="2">
        <v>2341</v>
      </c>
      <c r="J412" t="str">
        <f>TEXT(orders[[#All],[Order_Date]],"mmm")</f>
        <v>Feb</v>
      </c>
      <c r="K412">
        <f>YEAR(orders[[#This Row],[Order_Date]])</f>
        <v>2024</v>
      </c>
    </row>
    <row r="413" spans="1:11" x14ac:dyDescent="0.3">
      <c r="A413">
        <v>1411</v>
      </c>
      <c r="B413" s="1">
        <v>45338</v>
      </c>
      <c r="C413" t="s">
        <v>15</v>
      </c>
      <c r="D413" t="s">
        <v>16</v>
      </c>
      <c r="E413" t="s">
        <v>24</v>
      </c>
      <c r="F413">
        <v>2518</v>
      </c>
      <c r="G413">
        <v>751</v>
      </c>
      <c r="H413" t="s">
        <v>12</v>
      </c>
      <c r="I413" s="2">
        <v>1767</v>
      </c>
      <c r="J413" t="str">
        <f>TEXT(orders[[#All],[Order_Date]],"mmm")</f>
        <v>Feb</v>
      </c>
      <c r="K413">
        <f>YEAR(orders[[#This Row],[Order_Date]])</f>
        <v>2024</v>
      </c>
    </row>
    <row r="414" spans="1:11" x14ac:dyDescent="0.3">
      <c r="A414">
        <v>1412</v>
      </c>
      <c r="B414" s="1">
        <v>45339</v>
      </c>
      <c r="C414" t="s">
        <v>15</v>
      </c>
      <c r="D414" t="s">
        <v>19</v>
      </c>
      <c r="E414" t="s">
        <v>22</v>
      </c>
      <c r="F414">
        <v>4382</v>
      </c>
      <c r="G414">
        <v>327</v>
      </c>
      <c r="H414" t="s">
        <v>14</v>
      </c>
      <c r="I414" s="2">
        <v>4055</v>
      </c>
      <c r="J414" t="str">
        <f>TEXT(orders[[#All],[Order_Date]],"mmm")</f>
        <v>Feb</v>
      </c>
      <c r="K414">
        <f>YEAR(orders[[#This Row],[Order_Date]])</f>
        <v>2024</v>
      </c>
    </row>
    <row r="415" spans="1:11" x14ac:dyDescent="0.3">
      <c r="A415">
        <v>1413</v>
      </c>
      <c r="B415" s="1">
        <v>45340</v>
      </c>
      <c r="C415" t="s">
        <v>23</v>
      </c>
      <c r="D415" t="s">
        <v>10</v>
      </c>
      <c r="E415" t="s">
        <v>25</v>
      </c>
      <c r="F415">
        <v>3896</v>
      </c>
      <c r="G415">
        <v>3479</v>
      </c>
      <c r="H415" t="s">
        <v>12</v>
      </c>
      <c r="I415" s="2">
        <v>417</v>
      </c>
      <c r="J415" t="str">
        <f>TEXT(orders[[#All],[Order_Date]],"mmm")</f>
        <v>Feb</v>
      </c>
      <c r="K415">
        <f>YEAR(orders[[#This Row],[Order_Date]])</f>
        <v>2024</v>
      </c>
    </row>
    <row r="416" spans="1:11" x14ac:dyDescent="0.3">
      <c r="A416">
        <v>1414</v>
      </c>
      <c r="B416" s="1">
        <v>45341</v>
      </c>
      <c r="C416" t="s">
        <v>9</v>
      </c>
      <c r="D416" t="s">
        <v>16</v>
      </c>
      <c r="E416" t="s">
        <v>24</v>
      </c>
      <c r="F416">
        <v>4462</v>
      </c>
      <c r="G416">
        <v>213</v>
      </c>
      <c r="H416" t="s">
        <v>12</v>
      </c>
      <c r="I416" s="2">
        <v>4249</v>
      </c>
      <c r="J416" t="str">
        <f>TEXT(orders[[#All],[Order_Date]],"mmm")</f>
        <v>Feb</v>
      </c>
      <c r="K416">
        <f>YEAR(orders[[#This Row],[Order_Date]])</f>
        <v>2024</v>
      </c>
    </row>
    <row r="417" spans="1:11" x14ac:dyDescent="0.3">
      <c r="A417">
        <v>1415</v>
      </c>
      <c r="B417" s="1">
        <v>45342</v>
      </c>
      <c r="C417" t="s">
        <v>13</v>
      </c>
      <c r="D417" t="s">
        <v>19</v>
      </c>
      <c r="E417" t="s">
        <v>22</v>
      </c>
      <c r="F417">
        <v>1330</v>
      </c>
      <c r="G417">
        <v>1387</v>
      </c>
      <c r="H417" t="s">
        <v>18</v>
      </c>
      <c r="I417" s="2">
        <v>-57</v>
      </c>
      <c r="J417" t="str">
        <f>TEXT(orders[[#All],[Order_Date]],"mmm")</f>
        <v>Feb</v>
      </c>
      <c r="K417">
        <f>YEAR(orders[[#This Row],[Order_Date]])</f>
        <v>2024</v>
      </c>
    </row>
    <row r="418" spans="1:11" x14ac:dyDescent="0.3">
      <c r="A418">
        <v>1416</v>
      </c>
      <c r="B418" s="1">
        <v>45343</v>
      </c>
      <c r="C418" t="s">
        <v>15</v>
      </c>
      <c r="D418" t="s">
        <v>10</v>
      </c>
      <c r="E418" t="s">
        <v>24</v>
      </c>
      <c r="F418">
        <v>4376</v>
      </c>
      <c r="G418">
        <v>686</v>
      </c>
      <c r="H418" t="s">
        <v>18</v>
      </c>
      <c r="I418" s="2">
        <v>3690</v>
      </c>
      <c r="J418" t="str">
        <f>TEXT(orders[[#All],[Order_Date]],"mmm")</f>
        <v>Feb</v>
      </c>
      <c r="K418">
        <f>YEAR(orders[[#This Row],[Order_Date]])</f>
        <v>2024</v>
      </c>
    </row>
    <row r="419" spans="1:11" x14ac:dyDescent="0.3">
      <c r="A419">
        <v>1417</v>
      </c>
      <c r="B419" s="1">
        <v>45344</v>
      </c>
      <c r="C419" t="s">
        <v>9</v>
      </c>
      <c r="D419" t="s">
        <v>19</v>
      </c>
      <c r="E419" t="s">
        <v>20</v>
      </c>
      <c r="F419">
        <v>4423</v>
      </c>
      <c r="G419">
        <v>2115</v>
      </c>
      <c r="H419" t="s">
        <v>12</v>
      </c>
      <c r="I419" s="2">
        <v>2308</v>
      </c>
      <c r="J419" t="str">
        <f>TEXT(orders[[#All],[Order_Date]],"mmm")</f>
        <v>Feb</v>
      </c>
      <c r="K419">
        <f>YEAR(orders[[#This Row],[Order_Date]])</f>
        <v>2024</v>
      </c>
    </row>
    <row r="420" spans="1:11" x14ac:dyDescent="0.3">
      <c r="A420">
        <v>1418</v>
      </c>
      <c r="B420" s="1">
        <v>45345</v>
      </c>
      <c r="C420" t="s">
        <v>13</v>
      </c>
      <c r="D420" t="s">
        <v>16</v>
      </c>
      <c r="E420" t="s">
        <v>24</v>
      </c>
      <c r="F420">
        <v>2720</v>
      </c>
      <c r="G420">
        <v>3667</v>
      </c>
      <c r="H420" t="s">
        <v>12</v>
      </c>
      <c r="I420" s="2">
        <v>-947</v>
      </c>
      <c r="J420" t="str">
        <f>TEXT(orders[[#All],[Order_Date]],"mmm")</f>
        <v>Feb</v>
      </c>
      <c r="K420">
        <f>YEAR(orders[[#This Row],[Order_Date]])</f>
        <v>2024</v>
      </c>
    </row>
    <row r="421" spans="1:11" x14ac:dyDescent="0.3">
      <c r="A421">
        <v>1419</v>
      </c>
      <c r="B421" s="1">
        <v>45346</v>
      </c>
      <c r="C421" t="s">
        <v>15</v>
      </c>
      <c r="D421" t="s">
        <v>19</v>
      </c>
      <c r="E421" t="s">
        <v>22</v>
      </c>
      <c r="F421">
        <v>1221</v>
      </c>
      <c r="G421">
        <v>559</v>
      </c>
      <c r="H421" t="s">
        <v>26</v>
      </c>
      <c r="I421" s="2">
        <v>662</v>
      </c>
      <c r="J421" t="str">
        <f>TEXT(orders[[#All],[Order_Date]],"mmm")</f>
        <v>Feb</v>
      </c>
      <c r="K421">
        <f>YEAR(orders[[#This Row],[Order_Date]])</f>
        <v>2024</v>
      </c>
    </row>
    <row r="422" spans="1:11" x14ac:dyDescent="0.3">
      <c r="A422">
        <v>1420</v>
      </c>
      <c r="B422" s="1">
        <v>45347</v>
      </c>
      <c r="C422" t="s">
        <v>15</v>
      </c>
      <c r="D422" t="s">
        <v>16</v>
      </c>
      <c r="E422" t="s">
        <v>11</v>
      </c>
      <c r="F422">
        <v>2788</v>
      </c>
      <c r="G422">
        <v>531</v>
      </c>
      <c r="H422" t="s">
        <v>26</v>
      </c>
      <c r="I422" s="2">
        <v>2257</v>
      </c>
      <c r="J422" t="str">
        <f>TEXT(orders[[#All],[Order_Date]],"mmm")</f>
        <v>Feb</v>
      </c>
      <c r="K422">
        <f>YEAR(orders[[#This Row],[Order_Date]])</f>
        <v>2024</v>
      </c>
    </row>
    <row r="423" spans="1:11" x14ac:dyDescent="0.3">
      <c r="A423">
        <v>1421</v>
      </c>
      <c r="B423" s="1">
        <v>45348</v>
      </c>
      <c r="C423" t="s">
        <v>23</v>
      </c>
      <c r="D423" t="s">
        <v>16</v>
      </c>
      <c r="E423" t="s">
        <v>17</v>
      </c>
      <c r="F423">
        <v>698</v>
      </c>
      <c r="G423">
        <v>2232</v>
      </c>
      <c r="H423" t="s">
        <v>21</v>
      </c>
      <c r="I423" s="2">
        <v>-1534</v>
      </c>
      <c r="J423" t="str">
        <f>TEXT(orders[[#All],[Order_Date]],"mmm")</f>
        <v>Feb</v>
      </c>
      <c r="K423">
        <f>YEAR(orders[[#This Row],[Order_Date]])</f>
        <v>2024</v>
      </c>
    </row>
    <row r="424" spans="1:11" x14ac:dyDescent="0.3">
      <c r="A424">
        <v>1422</v>
      </c>
      <c r="B424" s="1">
        <v>45349</v>
      </c>
      <c r="C424" t="s">
        <v>9</v>
      </c>
      <c r="D424" t="s">
        <v>19</v>
      </c>
      <c r="E424" t="s">
        <v>24</v>
      </c>
      <c r="F424">
        <v>762</v>
      </c>
      <c r="G424">
        <v>2046</v>
      </c>
      <c r="H424" t="s">
        <v>18</v>
      </c>
      <c r="I424" s="2">
        <v>-1284</v>
      </c>
      <c r="J424" t="str">
        <f>TEXT(orders[[#All],[Order_Date]],"mmm")</f>
        <v>Feb</v>
      </c>
      <c r="K424">
        <f>YEAR(orders[[#This Row],[Order_Date]])</f>
        <v>2024</v>
      </c>
    </row>
    <row r="425" spans="1:11" x14ac:dyDescent="0.3">
      <c r="A425">
        <v>1423</v>
      </c>
      <c r="B425" s="1">
        <v>45350</v>
      </c>
      <c r="C425" t="s">
        <v>23</v>
      </c>
      <c r="D425" t="s">
        <v>16</v>
      </c>
      <c r="E425" t="s">
        <v>20</v>
      </c>
      <c r="F425">
        <v>4004</v>
      </c>
      <c r="G425">
        <v>1644</v>
      </c>
      <c r="H425" t="s">
        <v>26</v>
      </c>
      <c r="I425" s="2">
        <v>2360</v>
      </c>
      <c r="J425" t="str">
        <f>TEXT(orders[[#All],[Order_Date]],"mmm")</f>
        <v>Feb</v>
      </c>
      <c r="K425">
        <f>YEAR(orders[[#This Row],[Order_Date]])</f>
        <v>2024</v>
      </c>
    </row>
    <row r="426" spans="1:11" x14ac:dyDescent="0.3">
      <c r="A426">
        <v>1424</v>
      </c>
      <c r="B426" s="1">
        <v>45351</v>
      </c>
      <c r="C426" t="s">
        <v>13</v>
      </c>
      <c r="D426" t="s">
        <v>16</v>
      </c>
      <c r="E426" t="s">
        <v>24</v>
      </c>
      <c r="F426">
        <v>4673</v>
      </c>
      <c r="G426">
        <v>1306</v>
      </c>
      <c r="H426" t="s">
        <v>12</v>
      </c>
      <c r="I426" s="2">
        <v>3367</v>
      </c>
      <c r="J426" t="str">
        <f>TEXT(orders[[#All],[Order_Date]],"mmm")</f>
        <v>Feb</v>
      </c>
      <c r="K426">
        <f>YEAR(orders[[#This Row],[Order_Date]])</f>
        <v>2024</v>
      </c>
    </row>
    <row r="427" spans="1:11" x14ac:dyDescent="0.3">
      <c r="A427">
        <v>1425</v>
      </c>
      <c r="B427" s="1">
        <v>45352</v>
      </c>
      <c r="C427" t="s">
        <v>9</v>
      </c>
      <c r="D427" t="s">
        <v>16</v>
      </c>
      <c r="E427" t="s">
        <v>24</v>
      </c>
      <c r="F427">
        <v>2941</v>
      </c>
      <c r="G427">
        <v>2451</v>
      </c>
      <c r="H427" t="s">
        <v>26</v>
      </c>
      <c r="I427" s="2">
        <v>490</v>
      </c>
      <c r="J427" t="str">
        <f>TEXT(orders[[#All],[Order_Date]],"mmm")</f>
        <v>Mar</v>
      </c>
      <c r="K427">
        <f>YEAR(orders[[#This Row],[Order_Date]])</f>
        <v>2024</v>
      </c>
    </row>
    <row r="428" spans="1:11" x14ac:dyDescent="0.3">
      <c r="A428">
        <v>1426</v>
      </c>
      <c r="B428" s="1">
        <v>45353</v>
      </c>
      <c r="C428" t="s">
        <v>23</v>
      </c>
      <c r="D428" t="s">
        <v>16</v>
      </c>
      <c r="E428" t="s">
        <v>17</v>
      </c>
      <c r="F428">
        <v>969</v>
      </c>
      <c r="G428">
        <v>2939</v>
      </c>
      <c r="H428" t="s">
        <v>21</v>
      </c>
      <c r="I428" s="2">
        <v>-1970</v>
      </c>
      <c r="J428" t="str">
        <f>TEXT(orders[[#All],[Order_Date]],"mmm")</f>
        <v>Mar</v>
      </c>
      <c r="K428">
        <f>YEAR(orders[[#This Row],[Order_Date]])</f>
        <v>2024</v>
      </c>
    </row>
    <row r="429" spans="1:11" x14ac:dyDescent="0.3">
      <c r="A429">
        <v>1427</v>
      </c>
      <c r="B429" s="1">
        <v>45354</v>
      </c>
      <c r="C429" t="s">
        <v>9</v>
      </c>
      <c r="D429" t="s">
        <v>19</v>
      </c>
      <c r="E429" t="s">
        <v>20</v>
      </c>
      <c r="F429">
        <v>2358</v>
      </c>
      <c r="G429">
        <v>2410</v>
      </c>
      <c r="H429" t="s">
        <v>26</v>
      </c>
      <c r="I429" s="2">
        <v>-52</v>
      </c>
      <c r="J429" t="str">
        <f>TEXT(orders[[#All],[Order_Date]],"mmm")</f>
        <v>Mar</v>
      </c>
      <c r="K429">
        <f>YEAR(orders[[#This Row],[Order_Date]])</f>
        <v>2024</v>
      </c>
    </row>
    <row r="430" spans="1:11" x14ac:dyDescent="0.3">
      <c r="A430">
        <v>1428</v>
      </c>
      <c r="B430" s="1">
        <v>45355</v>
      </c>
      <c r="C430" t="s">
        <v>23</v>
      </c>
      <c r="D430" t="s">
        <v>16</v>
      </c>
      <c r="E430" t="s">
        <v>24</v>
      </c>
      <c r="F430">
        <v>1688</v>
      </c>
      <c r="G430">
        <v>2178</v>
      </c>
      <c r="H430" t="s">
        <v>12</v>
      </c>
      <c r="I430" s="2">
        <v>-490</v>
      </c>
      <c r="J430" t="str">
        <f>TEXT(orders[[#All],[Order_Date]],"mmm")</f>
        <v>Mar</v>
      </c>
      <c r="K430">
        <f>YEAR(orders[[#This Row],[Order_Date]])</f>
        <v>2024</v>
      </c>
    </row>
    <row r="431" spans="1:11" x14ac:dyDescent="0.3">
      <c r="A431">
        <v>1429</v>
      </c>
      <c r="B431" s="1">
        <v>45356</v>
      </c>
      <c r="C431" t="s">
        <v>9</v>
      </c>
      <c r="D431" t="s">
        <v>16</v>
      </c>
      <c r="E431" t="s">
        <v>24</v>
      </c>
      <c r="F431">
        <v>784</v>
      </c>
      <c r="G431">
        <v>280</v>
      </c>
      <c r="H431" t="s">
        <v>26</v>
      </c>
      <c r="I431" s="2">
        <v>504</v>
      </c>
      <c r="J431" t="str">
        <f>TEXT(orders[[#All],[Order_Date]],"mmm")</f>
        <v>Mar</v>
      </c>
      <c r="K431">
        <f>YEAR(orders[[#This Row],[Order_Date]])</f>
        <v>2024</v>
      </c>
    </row>
    <row r="432" spans="1:11" x14ac:dyDescent="0.3">
      <c r="A432">
        <v>1430</v>
      </c>
      <c r="B432" s="1">
        <v>45357</v>
      </c>
      <c r="C432" t="s">
        <v>9</v>
      </c>
      <c r="D432" t="s">
        <v>16</v>
      </c>
      <c r="E432" t="s">
        <v>22</v>
      </c>
      <c r="F432">
        <v>1470</v>
      </c>
      <c r="G432">
        <v>740</v>
      </c>
      <c r="H432" t="s">
        <v>26</v>
      </c>
      <c r="I432" s="2">
        <v>730</v>
      </c>
      <c r="J432" t="str">
        <f>TEXT(orders[[#All],[Order_Date]],"mmm")</f>
        <v>Mar</v>
      </c>
      <c r="K432">
        <f>YEAR(orders[[#This Row],[Order_Date]])</f>
        <v>2024</v>
      </c>
    </row>
    <row r="433" spans="1:11" x14ac:dyDescent="0.3">
      <c r="A433">
        <v>1431</v>
      </c>
      <c r="B433" s="1">
        <v>45358</v>
      </c>
      <c r="C433" t="s">
        <v>13</v>
      </c>
      <c r="D433" t="s">
        <v>16</v>
      </c>
      <c r="E433" t="s">
        <v>11</v>
      </c>
      <c r="F433">
        <v>2038</v>
      </c>
      <c r="G433">
        <v>2641</v>
      </c>
      <c r="H433" t="s">
        <v>18</v>
      </c>
      <c r="I433" s="2">
        <v>-603</v>
      </c>
      <c r="J433" t="str">
        <f>TEXT(orders[[#All],[Order_Date]],"mmm")</f>
        <v>Mar</v>
      </c>
      <c r="K433">
        <f>YEAR(orders[[#This Row],[Order_Date]])</f>
        <v>2024</v>
      </c>
    </row>
    <row r="434" spans="1:11" x14ac:dyDescent="0.3">
      <c r="A434">
        <v>1432</v>
      </c>
      <c r="B434" s="1">
        <v>45359</v>
      </c>
      <c r="C434" t="s">
        <v>13</v>
      </c>
      <c r="D434" t="s">
        <v>10</v>
      </c>
      <c r="E434" t="s">
        <v>20</v>
      </c>
      <c r="F434">
        <v>2969</v>
      </c>
      <c r="G434">
        <v>2093</v>
      </c>
      <c r="H434" t="s">
        <v>18</v>
      </c>
      <c r="I434" s="2">
        <v>876</v>
      </c>
      <c r="J434" t="str">
        <f>TEXT(orders[[#All],[Order_Date]],"mmm")</f>
        <v>Mar</v>
      </c>
      <c r="K434">
        <f>YEAR(orders[[#This Row],[Order_Date]])</f>
        <v>2024</v>
      </c>
    </row>
    <row r="435" spans="1:11" x14ac:dyDescent="0.3">
      <c r="A435">
        <v>1433</v>
      </c>
      <c r="B435" s="1">
        <v>45360</v>
      </c>
      <c r="C435" t="s">
        <v>13</v>
      </c>
      <c r="D435" t="s">
        <v>19</v>
      </c>
      <c r="E435" t="s">
        <v>25</v>
      </c>
      <c r="F435">
        <v>2258</v>
      </c>
      <c r="G435">
        <v>208</v>
      </c>
      <c r="H435" t="s">
        <v>21</v>
      </c>
      <c r="I435" s="2">
        <v>2050</v>
      </c>
      <c r="J435" t="str">
        <f>TEXT(orders[[#All],[Order_Date]],"mmm")</f>
        <v>Mar</v>
      </c>
      <c r="K435">
        <f>YEAR(orders[[#This Row],[Order_Date]])</f>
        <v>2024</v>
      </c>
    </row>
    <row r="436" spans="1:11" x14ac:dyDescent="0.3">
      <c r="A436">
        <v>1434</v>
      </c>
      <c r="B436" s="1">
        <v>45361</v>
      </c>
      <c r="C436" t="s">
        <v>9</v>
      </c>
      <c r="D436" t="s">
        <v>19</v>
      </c>
      <c r="E436" t="s">
        <v>25</v>
      </c>
      <c r="F436">
        <v>4549</v>
      </c>
      <c r="G436">
        <v>345</v>
      </c>
      <c r="H436" t="s">
        <v>21</v>
      </c>
      <c r="I436" s="2">
        <v>4204</v>
      </c>
      <c r="J436" t="str">
        <f>TEXT(orders[[#All],[Order_Date]],"mmm")</f>
        <v>Mar</v>
      </c>
      <c r="K436">
        <f>YEAR(orders[[#This Row],[Order_Date]])</f>
        <v>2024</v>
      </c>
    </row>
    <row r="437" spans="1:11" x14ac:dyDescent="0.3">
      <c r="A437">
        <v>1435</v>
      </c>
      <c r="B437" s="1">
        <v>45362</v>
      </c>
      <c r="C437" t="s">
        <v>9</v>
      </c>
      <c r="D437" t="s">
        <v>10</v>
      </c>
      <c r="E437" t="s">
        <v>20</v>
      </c>
      <c r="F437">
        <v>2039</v>
      </c>
      <c r="G437">
        <v>1976</v>
      </c>
      <c r="H437" t="s">
        <v>26</v>
      </c>
      <c r="I437" s="2">
        <v>63</v>
      </c>
      <c r="J437" t="str">
        <f>TEXT(orders[[#All],[Order_Date]],"mmm")</f>
        <v>Mar</v>
      </c>
      <c r="K437">
        <f>YEAR(orders[[#This Row],[Order_Date]])</f>
        <v>2024</v>
      </c>
    </row>
    <row r="438" spans="1:11" x14ac:dyDescent="0.3">
      <c r="A438">
        <v>1436</v>
      </c>
      <c r="B438" s="1">
        <v>45363</v>
      </c>
      <c r="C438" t="s">
        <v>13</v>
      </c>
      <c r="D438" t="s">
        <v>19</v>
      </c>
      <c r="E438" t="s">
        <v>17</v>
      </c>
      <c r="F438">
        <v>611</v>
      </c>
      <c r="G438">
        <v>436</v>
      </c>
      <c r="H438" t="s">
        <v>18</v>
      </c>
      <c r="I438" s="2">
        <v>175</v>
      </c>
      <c r="J438" t="str">
        <f>TEXT(orders[[#All],[Order_Date]],"mmm")</f>
        <v>Mar</v>
      </c>
      <c r="K438">
        <f>YEAR(orders[[#This Row],[Order_Date]])</f>
        <v>2024</v>
      </c>
    </row>
    <row r="439" spans="1:11" x14ac:dyDescent="0.3">
      <c r="A439">
        <v>1437</v>
      </c>
      <c r="B439" s="1">
        <v>45364</v>
      </c>
      <c r="C439" t="s">
        <v>15</v>
      </c>
      <c r="D439" t="s">
        <v>10</v>
      </c>
      <c r="E439" t="s">
        <v>20</v>
      </c>
      <c r="F439">
        <v>2279</v>
      </c>
      <c r="G439">
        <v>1444</v>
      </c>
      <c r="H439" t="s">
        <v>18</v>
      </c>
      <c r="I439" s="2">
        <v>835</v>
      </c>
      <c r="J439" t="str">
        <f>TEXT(orders[[#All],[Order_Date]],"mmm")</f>
        <v>Mar</v>
      </c>
      <c r="K439">
        <f>YEAR(orders[[#This Row],[Order_Date]])</f>
        <v>2024</v>
      </c>
    </row>
    <row r="440" spans="1:11" x14ac:dyDescent="0.3">
      <c r="A440">
        <v>1438</v>
      </c>
      <c r="B440" s="1">
        <v>45365</v>
      </c>
      <c r="C440" t="s">
        <v>13</v>
      </c>
      <c r="D440" t="s">
        <v>19</v>
      </c>
      <c r="E440" t="s">
        <v>20</v>
      </c>
      <c r="F440">
        <v>2481</v>
      </c>
      <c r="G440">
        <v>1889</v>
      </c>
      <c r="H440" t="s">
        <v>26</v>
      </c>
      <c r="I440" s="2">
        <v>592</v>
      </c>
      <c r="J440" t="str">
        <f>TEXT(orders[[#All],[Order_Date]],"mmm")</f>
        <v>Mar</v>
      </c>
      <c r="K440">
        <f>YEAR(orders[[#This Row],[Order_Date]])</f>
        <v>2024</v>
      </c>
    </row>
    <row r="441" spans="1:11" x14ac:dyDescent="0.3">
      <c r="A441">
        <v>1439</v>
      </c>
      <c r="B441" s="1">
        <v>45366</v>
      </c>
      <c r="C441" t="s">
        <v>23</v>
      </c>
      <c r="D441" t="s">
        <v>19</v>
      </c>
      <c r="E441" t="s">
        <v>25</v>
      </c>
      <c r="F441">
        <v>3038</v>
      </c>
      <c r="G441">
        <v>3622</v>
      </c>
      <c r="H441" t="s">
        <v>18</v>
      </c>
      <c r="I441" s="2">
        <v>-584</v>
      </c>
      <c r="J441" t="str">
        <f>TEXT(orders[[#All],[Order_Date]],"mmm")</f>
        <v>Mar</v>
      </c>
      <c r="K441">
        <f>YEAR(orders[[#This Row],[Order_Date]])</f>
        <v>2024</v>
      </c>
    </row>
    <row r="442" spans="1:11" x14ac:dyDescent="0.3">
      <c r="A442">
        <v>1440</v>
      </c>
      <c r="B442" s="1">
        <v>45367</v>
      </c>
      <c r="C442" t="s">
        <v>13</v>
      </c>
      <c r="D442" t="s">
        <v>16</v>
      </c>
      <c r="E442" t="s">
        <v>11</v>
      </c>
      <c r="F442">
        <v>4624</v>
      </c>
      <c r="G442">
        <v>3395</v>
      </c>
      <c r="H442" t="s">
        <v>14</v>
      </c>
      <c r="I442" s="2">
        <v>1229</v>
      </c>
      <c r="J442" t="str">
        <f>TEXT(orders[[#All],[Order_Date]],"mmm")</f>
        <v>Mar</v>
      </c>
      <c r="K442">
        <f>YEAR(orders[[#This Row],[Order_Date]])</f>
        <v>2024</v>
      </c>
    </row>
    <row r="443" spans="1:11" x14ac:dyDescent="0.3">
      <c r="A443">
        <v>1441</v>
      </c>
      <c r="B443" s="1">
        <v>45368</v>
      </c>
      <c r="C443" t="s">
        <v>9</v>
      </c>
      <c r="D443" t="s">
        <v>10</v>
      </c>
      <c r="E443" t="s">
        <v>25</v>
      </c>
      <c r="F443">
        <v>2327</v>
      </c>
      <c r="G443">
        <v>301</v>
      </c>
      <c r="H443" t="s">
        <v>12</v>
      </c>
      <c r="I443" s="2">
        <v>2026</v>
      </c>
      <c r="J443" t="str">
        <f>TEXT(orders[[#All],[Order_Date]],"mmm")</f>
        <v>Mar</v>
      </c>
      <c r="K443">
        <f>YEAR(orders[[#This Row],[Order_Date]])</f>
        <v>2024</v>
      </c>
    </row>
    <row r="444" spans="1:11" x14ac:dyDescent="0.3">
      <c r="A444">
        <v>1442</v>
      </c>
      <c r="B444" s="1">
        <v>45369</v>
      </c>
      <c r="C444" t="s">
        <v>13</v>
      </c>
      <c r="D444" t="s">
        <v>10</v>
      </c>
      <c r="E444" t="s">
        <v>11</v>
      </c>
      <c r="F444">
        <v>809</v>
      </c>
      <c r="G444">
        <v>1923</v>
      </c>
      <c r="H444" t="s">
        <v>14</v>
      </c>
      <c r="I444" s="2">
        <v>-1114</v>
      </c>
      <c r="J444" t="str">
        <f>TEXT(orders[[#All],[Order_Date]],"mmm")</f>
        <v>Mar</v>
      </c>
      <c r="K444">
        <f>YEAR(orders[[#This Row],[Order_Date]])</f>
        <v>2024</v>
      </c>
    </row>
    <row r="445" spans="1:11" x14ac:dyDescent="0.3">
      <c r="A445">
        <v>1443</v>
      </c>
      <c r="B445" s="1">
        <v>45370</v>
      </c>
      <c r="C445" t="s">
        <v>9</v>
      </c>
      <c r="D445" t="s">
        <v>19</v>
      </c>
      <c r="E445" t="s">
        <v>11</v>
      </c>
      <c r="F445">
        <v>4366</v>
      </c>
      <c r="G445">
        <v>1603</v>
      </c>
      <c r="H445" t="s">
        <v>14</v>
      </c>
      <c r="I445" s="2">
        <v>2763</v>
      </c>
      <c r="J445" t="str">
        <f>TEXT(orders[[#All],[Order_Date]],"mmm")</f>
        <v>Mar</v>
      </c>
      <c r="K445">
        <f>YEAR(orders[[#This Row],[Order_Date]])</f>
        <v>2024</v>
      </c>
    </row>
    <row r="446" spans="1:11" x14ac:dyDescent="0.3">
      <c r="A446">
        <v>1444</v>
      </c>
      <c r="B446" s="1">
        <v>45371</v>
      </c>
      <c r="C446" t="s">
        <v>13</v>
      </c>
      <c r="D446" t="s">
        <v>10</v>
      </c>
      <c r="E446" t="s">
        <v>22</v>
      </c>
      <c r="F446">
        <v>3941</v>
      </c>
      <c r="G446">
        <v>1217</v>
      </c>
      <c r="H446" t="s">
        <v>14</v>
      </c>
      <c r="I446" s="2">
        <v>2724</v>
      </c>
      <c r="J446" t="str">
        <f>TEXT(orders[[#All],[Order_Date]],"mmm")</f>
        <v>Mar</v>
      </c>
      <c r="K446">
        <f>YEAR(orders[[#This Row],[Order_Date]])</f>
        <v>2024</v>
      </c>
    </row>
    <row r="447" spans="1:11" x14ac:dyDescent="0.3">
      <c r="A447">
        <v>1445</v>
      </c>
      <c r="B447" s="1">
        <v>45372</v>
      </c>
      <c r="C447" t="s">
        <v>13</v>
      </c>
      <c r="D447" t="s">
        <v>16</v>
      </c>
      <c r="E447" t="s">
        <v>25</v>
      </c>
      <c r="F447">
        <v>4386</v>
      </c>
      <c r="G447">
        <v>1283</v>
      </c>
      <c r="H447" t="s">
        <v>18</v>
      </c>
      <c r="I447" s="2">
        <v>3103</v>
      </c>
      <c r="J447" t="str">
        <f>TEXT(orders[[#All],[Order_Date]],"mmm")</f>
        <v>Mar</v>
      </c>
      <c r="K447">
        <f>YEAR(orders[[#This Row],[Order_Date]])</f>
        <v>2024</v>
      </c>
    </row>
    <row r="448" spans="1:11" x14ac:dyDescent="0.3">
      <c r="A448">
        <v>1446</v>
      </c>
      <c r="B448" s="1">
        <v>45373</v>
      </c>
      <c r="C448" t="s">
        <v>15</v>
      </c>
      <c r="D448" t="s">
        <v>19</v>
      </c>
      <c r="E448" t="s">
        <v>24</v>
      </c>
      <c r="F448">
        <v>4793</v>
      </c>
      <c r="G448">
        <v>1410</v>
      </c>
      <c r="H448" t="s">
        <v>26</v>
      </c>
      <c r="I448" s="2">
        <v>3383</v>
      </c>
      <c r="J448" t="str">
        <f>TEXT(orders[[#All],[Order_Date]],"mmm")</f>
        <v>Mar</v>
      </c>
      <c r="K448">
        <f>YEAR(orders[[#This Row],[Order_Date]])</f>
        <v>2024</v>
      </c>
    </row>
    <row r="449" spans="1:11" x14ac:dyDescent="0.3">
      <c r="A449">
        <v>1447</v>
      </c>
      <c r="B449" s="1">
        <v>45374</v>
      </c>
      <c r="C449" t="s">
        <v>23</v>
      </c>
      <c r="D449" t="s">
        <v>19</v>
      </c>
      <c r="E449" t="s">
        <v>20</v>
      </c>
      <c r="F449">
        <v>627</v>
      </c>
      <c r="G449">
        <v>3546</v>
      </c>
      <c r="H449" t="s">
        <v>21</v>
      </c>
      <c r="I449" s="2">
        <v>-2919</v>
      </c>
      <c r="J449" t="str">
        <f>TEXT(orders[[#All],[Order_Date]],"mmm")</f>
        <v>Mar</v>
      </c>
      <c r="K449">
        <f>YEAR(orders[[#This Row],[Order_Date]])</f>
        <v>2024</v>
      </c>
    </row>
    <row r="450" spans="1:11" x14ac:dyDescent="0.3">
      <c r="A450">
        <v>1448</v>
      </c>
      <c r="B450" s="1">
        <v>45375</v>
      </c>
      <c r="C450" t="s">
        <v>15</v>
      </c>
      <c r="D450" t="s">
        <v>16</v>
      </c>
      <c r="E450" t="s">
        <v>17</v>
      </c>
      <c r="F450">
        <v>671</v>
      </c>
      <c r="G450">
        <v>2772</v>
      </c>
      <c r="H450" t="s">
        <v>12</v>
      </c>
      <c r="I450" s="2">
        <v>-2101</v>
      </c>
      <c r="J450" t="str">
        <f>TEXT(orders[[#All],[Order_Date]],"mmm")</f>
        <v>Mar</v>
      </c>
      <c r="K450">
        <f>YEAR(orders[[#This Row],[Order_Date]])</f>
        <v>2024</v>
      </c>
    </row>
    <row r="451" spans="1:11" x14ac:dyDescent="0.3">
      <c r="A451">
        <v>1449</v>
      </c>
      <c r="B451" s="1">
        <v>45376</v>
      </c>
      <c r="C451" t="s">
        <v>9</v>
      </c>
      <c r="D451" t="s">
        <v>10</v>
      </c>
      <c r="E451" t="s">
        <v>24</v>
      </c>
      <c r="F451">
        <v>1607</v>
      </c>
      <c r="G451">
        <v>3145</v>
      </c>
      <c r="H451" t="s">
        <v>12</v>
      </c>
      <c r="I451" s="2">
        <v>-1538</v>
      </c>
      <c r="J451" t="str">
        <f>TEXT(orders[[#All],[Order_Date]],"mmm")</f>
        <v>Mar</v>
      </c>
      <c r="K451">
        <f>YEAR(orders[[#This Row],[Order_Date]])</f>
        <v>2024</v>
      </c>
    </row>
    <row r="452" spans="1:11" x14ac:dyDescent="0.3">
      <c r="A452">
        <v>1450</v>
      </c>
      <c r="B452" s="1">
        <v>45377</v>
      </c>
      <c r="C452" t="s">
        <v>9</v>
      </c>
      <c r="D452" t="s">
        <v>10</v>
      </c>
      <c r="E452" t="s">
        <v>25</v>
      </c>
      <c r="F452">
        <v>4658</v>
      </c>
      <c r="G452">
        <v>1507</v>
      </c>
      <c r="H452" t="s">
        <v>14</v>
      </c>
      <c r="I452" s="2">
        <v>3151</v>
      </c>
      <c r="J452" t="str">
        <f>TEXT(orders[[#All],[Order_Date]],"mmm")</f>
        <v>Mar</v>
      </c>
      <c r="K452">
        <f>YEAR(orders[[#This Row],[Order_Date]])</f>
        <v>2024</v>
      </c>
    </row>
    <row r="453" spans="1:11" x14ac:dyDescent="0.3">
      <c r="A453">
        <v>1451</v>
      </c>
      <c r="B453" s="1">
        <v>45378</v>
      </c>
      <c r="C453" t="s">
        <v>13</v>
      </c>
      <c r="D453" t="s">
        <v>19</v>
      </c>
      <c r="E453" t="s">
        <v>25</v>
      </c>
      <c r="F453">
        <v>3774</v>
      </c>
      <c r="G453">
        <v>722</v>
      </c>
      <c r="H453" t="s">
        <v>21</v>
      </c>
      <c r="I453" s="2">
        <v>3052</v>
      </c>
      <c r="J453" t="str">
        <f>TEXT(orders[[#All],[Order_Date]],"mmm")</f>
        <v>Mar</v>
      </c>
      <c r="K453">
        <f>YEAR(orders[[#This Row],[Order_Date]])</f>
        <v>2024</v>
      </c>
    </row>
    <row r="454" spans="1:11" x14ac:dyDescent="0.3">
      <c r="A454">
        <v>1452</v>
      </c>
      <c r="B454" s="1">
        <v>45379</v>
      </c>
      <c r="C454" t="s">
        <v>9</v>
      </c>
      <c r="D454" t="s">
        <v>19</v>
      </c>
      <c r="E454" t="s">
        <v>24</v>
      </c>
      <c r="F454">
        <v>1743</v>
      </c>
      <c r="G454">
        <v>2187</v>
      </c>
      <c r="H454" t="s">
        <v>26</v>
      </c>
      <c r="I454" s="2">
        <v>-444</v>
      </c>
      <c r="J454" t="str">
        <f>TEXT(orders[[#All],[Order_Date]],"mmm")</f>
        <v>Mar</v>
      </c>
      <c r="K454">
        <f>YEAR(orders[[#This Row],[Order_Date]])</f>
        <v>2024</v>
      </c>
    </row>
    <row r="455" spans="1:11" x14ac:dyDescent="0.3">
      <c r="A455">
        <v>1453</v>
      </c>
      <c r="B455" s="1">
        <v>45380</v>
      </c>
      <c r="C455" t="s">
        <v>13</v>
      </c>
      <c r="D455" t="s">
        <v>16</v>
      </c>
      <c r="E455" t="s">
        <v>22</v>
      </c>
      <c r="F455">
        <v>3412</v>
      </c>
      <c r="G455">
        <v>2181</v>
      </c>
      <c r="H455" t="s">
        <v>21</v>
      </c>
      <c r="I455" s="2">
        <v>1231</v>
      </c>
      <c r="J455" t="str">
        <f>TEXT(orders[[#All],[Order_Date]],"mmm")</f>
        <v>Mar</v>
      </c>
      <c r="K455">
        <f>YEAR(orders[[#This Row],[Order_Date]])</f>
        <v>2024</v>
      </c>
    </row>
    <row r="456" spans="1:11" x14ac:dyDescent="0.3">
      <c r="A456">
        <v>1454</v>
      </c>
      <c r="B456" s="1">
        <v>45381</v>
      </c>
      <c r="C456" t="s">
        <v>9</v>
      </c>
      <c r="D456" t="s">
        <v>10</v>
      </c>
      <c r="E456" t="s">
        <v>25</v>
      </c>
      <c r="F456">
        <v>4762</v>
      </c>
      <c r="G456">
        <v>984</v>
      </c>
      <c r="H456" t="s">
        <v>21</v>
      </c>
      <c r="I456" s="2">
        <v>3778</v>
      </c>
      <c r="J456" t="str">
        <f>TEXT(orders[[#All],[Order_Date]],"mmm")</f>
        <v>Mar</v>
      </c>
      <c r="K456">
        <f>YEAR(orders[[#This Row],[Order_Date]])</f>
        <v>2024</v>
      </c>
    </row>
    <row r="457" spans="1:11" x14ac:dyDescent="0.3">
      <c r="A457">
        <v>1455</v>
      </c>
      <c r="B457" s="1">
        <v>45382</v>
      </c>
      <c r="C457" t="s">
        <v>9</v>
      </c>
      <c r="D457" t="s">
        <v>10</v>
      </c>
      <c r="E457" t="s">
        <v>22</v>
      </c>
      <c r="F457">
        <v>4327</v>
      </c>
      <c r="G457">
        <v>3555</v>
      </c>
      <c r="H457" t="s">
        <v>12</v>
      </c>
      <c r="I457" s="2">
        <v>772</v>
      </c>
      <c r="J457" t="str">
        <f>TEXT(orders[[#All],[Order_Date]],"mmm")</f>
        <v>Mar</v>
      </c>
      <c r="K457">
        <f>YEAR(orders[[#This Row],[Order_Date]])</f>
        <v>2024</v>
      </c>
    </row>
    <row r="458" spans="1:11" x14ac:dyDescent="0.3">
      <c r="A458">
        <v>1456</v>
      </c>
      <c r="B458" s="1">
        <v>45383</v>
      </c>
      <c r="C458" t="s">
        <v>15</v>
      </c>
      <c r="D458" t="s">
        <v>10</v>
      </c>
      <c r="E458" t="s">
        <v>20</v>
      </c>
      <c r="F458">
        <v>3954</v>
      </c>
      <c r="G458">
        <v>2884</v>
      </c>
      <c r="H458" t="s">
        <v>18</v>
      </c>
      <c r="I458" s="2">
        <v>1070</v>
      </c>
      <c r="J458" t="str">
        <f>TEXT(orders[[#All],[Order_Date]],"mmm")</f>
        <v>Apr</v>
      </c>
      <c r="K458">
        <f>YEAR(orders[[#This Row],[Order_Date]])</f>
        <v>2024</v>
      </c>
    </row>
    <row r="459" spans="1:11" x14ac:dyDescent="0.3">
      <c r="A459">
        <v>1457</v>
      </c>
      <c r="B459" s="1">
        <v>45384</v>
      </c>
      <c r="C459" t="s">
        <v>9</v>
      </c>
      <c r="D459" t="s">
        <v>16</v>
      </c>
      <c r="E459" t="s">
        <v>20</v>
      </c>
      <c r="F459">
        <v>4309</v>
      </c>
      <c r="G459">
        <v>2760</v>
      </c>
      <c r="H459" t="s">
        <v>14</v>
      </c>
      <c r="I459" s="2">
        <v>1549</v>
      </c>
      <c r="J459" t="str">
        <f>TEXT(orders[[#All],[Order_Date]],"mmm")</f>
        <v>Apr</v>
      </c>
      <c r="K459">
        <f>YEAR(orders[[#This Row],[Order_Date]])</f>
        <v>2024</v>
      </c>
    </row>
    <row r="460" spans="1:11" x14ac:dyDescent="0.3">
      <c r="A460">
        <v>1458</v>
      </c>
      <c r="B460" s="1">
        <v>45385</v>
      </c>
      <c r="C460" t="s">
        <v>23</v>
      </c>
      <c r="D460" t="s">
        <v>16</v>
      </c>
      <c r="E460" t="s">
        <v>17</v>
      </c>
      <c r="F460">
        <v>4401</v>
      </c>
      <c r="G460">
        <v>2255</v>
      </c>
      <c r="H460" t="s">
        <v>18</v>
      </c>
      <c r="I460" s="2">
        <v>2146</v>
      </c>
      <c r="J460" t="str">
        <f>TEXT(orders[[#All],[Order_Date]],"mmm")</f>
        <v>Apr</v>
      </c>
      <c r="K460">
        <f>YEAR(orders[[#This Row],[Order_Date]])</f>
        <v>2024</v>
      </c>
    </row>
    <row r="461" spans="1:11" x14ac:dyDescent="0.3">
      <c r="A461">
        <v>1459</v>
      </c>
      <c r="B461" s="1">
        <v>45386</v>
      </c>
      <c r="C461" t="s">
        <v>23</v>
      </c>
      <c r="D461" t="s">
        <v>19</v>
      </c>
      <c r="E461" t="s">
        <v>25</v>
      </c>
      <c r="F461">
        <v>4381</v>
      </c>
      <c r="G461">
        <v>2913</v>
      </c>
      <c r="H461" t="s">
        <v>12</v>
      </c>
      <c r="I461" s="2">
        <v>1468</v>
      </c>
      <c r="J461" t="str">
        <f>TEXT(orders[[#All],[Order_Date]],"mmm")</f>
        <v>Apr</v>
      </c>
      <c r="K461">
        <f>YEAR(orders[[#This Row],[Order_Date]])</f>
        <v>2024</v>
      </c>
    </row>
    <row r="462" spans="1:11" x14ac:dyDescent="0.3">
      <c r="A462">
        <v>1460</v>
      </c>
      <c r="B462" s="1">
        <v>45387</v>
      </c>
      <c r="C462" t="s">
        <v>23</v>
      </c>
      <c r="D462" t="s">
        <v>19</v>
      </c>
      <c r="E462" t="s">
        <v>24</v>
      </c>
      <c r="F462">
        <v>2903</v>
      </c>
      <c r="G462">
        <v>2315</v>
      </c>
      <c r="H462" t="s">
        <v>21</v>
      </c>
      <c r="I462" s="2">
        <v>588</v>
      </c>
      <c r="J462" t="str">
        <f>TEXT(orders[[#All],[Order_Date]],"mmm")</f>
        <v>Apr</v>
      </c>
      <c r="K462">
        <f>YEAR(orders[[#This Row],[Order_Date]])</f>
        <v>2024</v>
      </c>
    </row>
    <row r="463" spans="1:11" x14ac:dyDescent="0.3">
      <c r="A463">
        <v>1461</v>
      </c>
      <c r="B463" s="1">
        <v>45388</v>
      </c>
      <c r="C463" t="s">
        <v>9</v>
      </c>
      <c r="D463" t="s">
        <v>19</v>
      </c>
      <c r="E463" t="s">
        <v>22</v>
      </c>
      <c r="F463">
        <v>2798</v>
      </c>
      <c r="G463">
        <v>2051</v>
      </c>
      <c r="H463" t="s">
        <v>14</v>
      </c>
      <c r="I463" s="2">
        <v>747</v>
      </c>
      <c r="J463" t="str">
        <f>TEXT(orders[[#All],[Order_Date]],"mmm")</f>
        <v>Apr</v>
      </c>
      <c r="K463">
        <f>YEAR(orders[[#This Row],[Order_Date]])</f>
        <v>2024</v>
      </c>
    </row>
    <row r="464" spans="1:11" x14ac:dyDescent="0.3">
      <c r="A464">
        <v>1462</v>
      </c>
      <c r="B464" s="1">
        <v>45389</v>
      </c>
      <c r="C464" t="s">
        <v>9</v>
      </c>
      <c r="D464" t="s">
        <v>19</v>
      </c>
      <c r="E464" t="s">
        <v>17</v>
      </c>
      <c r="F464">
        <v>3292</v>
      </c>
      <c r="G464">
        <v>2620</v>
      </c>
      <c r="H464" t="s">
        <v>26</v>
      </c>
      <c r="I464" s="2">
        <v>672</v>
      </c>
      <c r="J464" t="str">
        <f>TEXT(orders[[#All],[Order_Date]],"mmm")</f>
        <v>Apr</v>
      </c>
      <c r="K464">
        <f>YEAR(orders[[#This Row],[Order_Date]])</f>
        <v>2024</v>
      </c>
    </row>
    <row r="465" spans="1:11" x14ac:dyDescent="0.3">
      <c r="A465">
        <v>1463</v>
      </c>
      <c r="B465" s="1">
        <v>45390</v>
      </c>
      <c r="C465" t="s">
        <v>23</v>
      </c>
      <c r="D465" t="s">
        <v>10</v>
      </c>
      <c r="E465" t="s">
        <v>11</v>
      </c>
      <c r="F465">
        <v>779</v>
      </c>
      <c r="G465">
        <v>711</v>
      </c>
      <c r="H465" t="s">
        <v>26</v>
      </c>
      <c r="I465" s="2">
        <v>68</v>
      </c>
      <c r="J465" t="str">
        <f>TEXT(orders[[#All],[Order_Date]],"mmm")</f>
        <v>Apr</v>
      </c>
      <c r="K465">
        <f>YEAR(orders[[#This Row],[Order_Date]])</f>
        <v>2024</v>
      </c>
    </row>
    <row r="466" spans="1:11" x14ac:dyDescent="0.3">
      <c r="A466">
        <v>1464</v>
      </c>
      <c r="B466" s="1">
        <v>45391</v>
      </c>
      <c r="C466" t="s">
        <v>9</v>
      </c>
      <c r="D466" t="s">
        <v>10</v>
      </c>
      <c r="E466" t="s">
        <v>17</v>
      </c>
      <c r="F466">
        <v>1646</v>
      </c>
      <c r="G466">
        <v>2668</v>
      </c>
      <c r="H466" t="s">
        <v>21</v>
      </c>
      <c r="I466" s="2">
        <v>-1022</v>
      </c>
      <c r="J466" t="str">
        <f>TEXT(orders[[#All],[Order_Date]],"mmm")</f>
        <v>Apr</v>
      </c>
      <c r="K466">
        <f>YEAR(orders[[#This Row],[Order_Date]])</f>
        <v>2024</v>
      </c>
    </row>
    <row r="467" spans="1:11" x14ac:dyDescent="0.3">
      <c r="A467">
        <v>1465</v>
      </c>
      <c r="B467" s="1">
        <v>45392</v>
      </c>
      <c r="C467" t="s">
        <v>23</v>
      </c>
      <c r="D467" t="s">
        <v>10</v>
      </c>
      <c r="E467" t="s">
        <v>22</v>
      </c>
      <c r="F467">
        <v>4412</v>
      </c>
      <c r="G467">
        <v>2676</v>
      </c>
      <c r="H467" t="s">
        <v>18</v>
      </c>
      <c r="I467" s="2">
        <v>1736</v>
      </c>
      <c r="J467" t="str">
        <f>TEXT(orders[[#All],[Order_Date]],"mmm")</f>
        <v>Apr</v>
      </c>
      <c r="K467">
        <f>YEAR(orders[[#This Row],[Order_Date]])</f>
        <v>2024</v>
      </c>
    </row>
    <row r="468" spans="1:11" x14ac:dyDescent="0.3">
      <c r="A468">
        <v>1466</v>
      </c>
      <c r="B468" s="1">
        <v>45393</v>
      </c>
      <c r="C468" t="s">
        <v>13</v>
      </c>
      <c r="D468" t="s">
        <v>10</v>
      </c>
      <c r="E468" t="s">
        <v>25</v>
      </c>
      <c r="F468">
        <v>4125</v>
      </c>
      <c r="G468">
        <v>3997</v>
      </c>
      <c r="H468" t="s">
        <v>18</v>
      </c>
      <c r="I468" s="2">
        <v>128</v>
      </c>
      <c r="J468" t="str">
        <f>TEXT(orders[[#All],[Order_Date]],"mmm")</f>
        <v>Apr</v>
      </c>
      <c r="K468">
        <f>YEAR(orders[[#This Row],[Order_Date]])</f>
        <v>2024</v>
      </c>
    </row>
    <row r="469" spans="1:11" x14ac:dyDescent="0.3">
      <c r="A469">
        <v>1467</v>
      </c>
      <c r="B469" s="1">
        <v>45394</v>
      </c>
      <c r="C469" t="s">
        <v>23</v>
      </c>
      <c r="D469" t="s">
        <v>16</v>
      </c>
      <c r="E469" t="s">
        <v>25</v>
      </c>
      <c r="F469">
        <v>3809</v>
      </c>
      <c r="G469">
        <v>2873</v>
      </c>
      <c r="H469" t="s">
        <v>14</v>
      </c>
      <c r="I469" s="2">
        <v>936</v>
      </c>
      <c r="J469" t="str">
        <f>TEXT(orders[[#All],[Order_Date]],"mmm")</f>
        <v>Apr</v>
      </c>
      <c r="K469">
        <f>YEAR(orders[[#This Row],[Order_Date]])</f>
        <v>2024</v>
      </c>
    </row>
    <row r="470" spans="1:11" x14ac:dyDescent="0.3">
      <c r="A470">
        <v>1468</v>
      </c>
      <c r="B470" s="1">
        <v>45395</v>
      </c>
      <c r="C470" t="s">
        <v>13</v>
      </c>
      <c r="D470" t="s">
        <v>16</v>
      </c>
      <c r="E470" t="s">
        <v>11</v>
      </c>
      <c r="F470">
        <v>1315</v>
      </c>
      <c r="G470">
        <v>1982</v>
      </c>
      <c r="H470" t="s">
        <v>12</v>
      </c>
      <c r="I470" s="2">
        <v>-667</v>
      </c>
      <c r="J470" t="str">
        <f>TEXT(orders[[#All],[Order_Date]],"mmm")</f>
        <v>Apr</v>
      </c>
      <c r="K470">
        <f>YEAR(orders[[#This Row],[Order_Date]])</f>
        <v>2024</v>
      </c>
    </row>
    <row r="471" spans="1:11" x14ac:dyDescent="0.3">
      <c r="A471">
        <v>1469</v>
      </c>
      <c r="B471" s="1">
        <v>45396</v>
      </c>
      <c r="C471" t="s">
        <v>13</v>
      </c>
      <c r="D471" t="s">
        <v>10</v>
      </c>
      <c r="E471" t="s">
        <v>22</v>
      </c>
      <c r="F471">
        <v>2179</v>
      </c>
      <c r="G471">
        <v>2759</v>
      </c>
      <c r="H471" t="s">
        <v>18</v>
      </c>
      <c r="I471" s="2">
        <v>-580</v>
      </c>
      <c r="J471" t="str">
        <f>TEXT(orders[[#All],[Order_Date]],"mmm")</f>
        <v>Apr</v>
      </c>
      <c r="K471">
        <f>YEAR(orders[[#This Row],[Order_Date]])</f>
        <v>2024</v>
      </c>
    </row>
    <row r="472" spans="1:11" x14ac:dyDescent="0.3">
      <c r="A472">
        <v>1470</v>
      </c>
      <c r="B472" s="1">
        <v>45397</v>
      </c>
      <c r="C472" t="s">
        <v>9</v>
      </c>
      <c r="D472" t="s">
        <v>19</v>
      </c>
      <c r="E472" t="s">
        <v>25</v>
      </c>
      <c r="F472">
        <v>3154</v>
      </c>
      <c r="G472">
        <v>3472</v>
      </c>
      <c r="H472" t="s">
        <v>26</v>
      </c>
      <c r="I472" s="2">
        <v>-318</v>
      </c>
      <c r="J472" t="str">
        <f>TEXT(orders[[#All],[Order_Date]],"mmm")</f>
        <v>Apr</v>
      </c>
      <c r="K472">
        <f>YEAR(orders[[#This Row],[Order_Date]])</f>
        <v>2024</v>
      </c>
    </row>
    <row r="473" spans="1:11" x14ac:dyDescent="0.3">
      <c r="A473">
        <v>1471</v>
      </c>
      <c r="B473" s="1">
        <v>45398</v>
      </c>
      <c r="C473" t="s">
        <v>15</v>
      </c>
      <c r="D473" t="s">
        <v>10</v>
      </c>
      <c r="E473" t="s">
        <v>25</v>
      </c>
      <c r="F473">
        <v>2521</v>
      </c>
      <c r="G473">
        <v>2871</v>
      </c>
      <c r="H473" t="s">
        <v>26</v>
      </c>
      <c r="I473" s="2">
        <v>-350</v>
      </c>
      <c r="J473" t="str">
        <f>TEXT(orders[[#All],[Order_Date]],"mmm")</f>
        <v>Apr</v>
      </c>
      <c r="K473">
        <f>YEAR(orders[[#This Row],[Order_Date]])</f>
        <v>2024</v>
      </c>
    </row>
    <row r="474" spans="1:11" x14ac:dyDescent="0.3">
      <c r="A474">
        <v>1472</v>
      </c>
      <c r="B474" s="1">
        <v>45399</v>
      </c>
      <c r="C474" t="s">
        <v>15</v>
      </c>
      <c r="D474" t="s">
        <v>19</v>
      </c>
      <c r="E474" t="s">
        <v>22</v>
      </c>
      <c r="F474">
        <v>1310</v>
      </c>
      <c r="G474">
        <v>3438</v>
      </c>
      <c r="H474" t="s">
        <v>26</v>
      </c>
      <c r="I474" s="2">
        <v>-2128</v>
      </c>
      <c r="J474" t="str">
        <f>TEXT(orders[[#All],[Order_Date]],"mmm")</f>
        <v>Apr</v>
      </c>
      <c r="K474">
        <f>YEAR(orders[[#This Row],[Order_Date]])</f>
        <v>2024</v>
      </c>
    </row>
    <row r="475" spans="1:11" x14ac:dyDescent="0.3">
      <c r="A475">
        <v>1473</v>
      </c>
      <c r="B475" s="1">
        <v>45400</v>
      </c>
      <c r="C475" t="s">
        <v>15</v>
      </c>
      <c r="D475" t="s">
        <v>16</v>
      </c>
      <c r="E475" t="s">
        <v>17</v>
      </c>
      <c r="F475">
        <v>1012</v>
      </c>
      <c r="G475">
        <v>2162</v>
      </c>
      <c r="H475" t="s">
        <v>18</v>
      </c>
      <c r="I475" s="2">
        <v>-1150</v>
      </c>
      <c r="J475" t="str">
        <f>TEXT(orders[[#All],[Order_Date]],"mmm")</f>
        <v>Apr</v>
      </c>
      <c r="K475">
        <f>YEAR(orders[[#This Row],[Order_Date]])</f>
        <v>2024</v>
      </c>
    </row>
    <row r="476" spans="1:11" x14ac:dyDescent="0.3">
      <c r="A476">
        <v>1474</v>
      </c>
      <c r="B476" s="1">
        <v>45401</v>
      </c>
      <c r="C476" t="s">
        <v>9</v>
      </c>
      <c r="D476" t="s">
        <v>16</v>
      </c>
      <c r="E476" t="s">
        <v>20</v>
      </c>
      <c r="F476">
        <v>3450</v>
      </c>
      <c r="G476">
        <v>3241</v>
      </c>
      <c r="H476" t="s">
        <v>21</v>
      </c>
      <c r="I476" s="2">
        <v>209</v>
      </c>
      <c r="J476" t="str">
        <f>TEXT(orders[[#All],[Order_Date]],"mmm")</f>
        <v>Apr</v>
      </c>
      <c r="K476">
        <f>YEAR(orders[[#This Row],[Order_Date]])</f>
        <v>2024</v>
      </c>
    </row>
    <row r="477" spans="1:11" x14ac:dyDescent="0.3">
      <c r="A477">
        <v>1475</v>
      </c>
      <c r="B477" s="1">
        <v>45402</v>
      </c>
      <c r="C477" t="s">
        <v>9</v>
      </c>
      <c r="D477" t="s">
        <v>19</v>
      </c>
      <c r="E477" t="s">
        <v>24</v>
      </c>
      <c r="F477">
        <v>3639</v>
      </c>
      <c r="G477">
        <v>3948</v>
      </c>
      <c r="H477" t="s">
        <v>18</v>
      </c>
      <c r="I477" s="2">
        <v>-309</v>
      </c>
      <c r="J477" t="str">
        <f>TEXT(orders[[#All],[Order_Date]],"mmm")</f>
        <v>Apr</v>
      </c>
      <c r="K477">
        <f>YEAR(orders[[#This Row],[Order_Date]])</f>
        <v>2024</v>
      </c>
    </row>
    <row r="478" spans="1:11" x14ac:dyDescent="0.3">
      <c r="A478">
        <v>1476</v>
      </c>
      <c r="B478" s="1">
        <v>45403</v>
      </c>
      <c r="C478" t="s">
        <v>13</v>
      </c>
      <c r="D478" t="s">
        <v>10</v>
      </c>
      <c r="E478" t="s">
        <v>17</v>
      </c>
      <c r="F478">
        <v>4883</v>
      </c>
      <c r="G478">
        <v>2316</v>
      </c>
      <c r="H478" t="s">
        <v>18</v>
      </c>
      <c r="I478" s="2">
        <v>2567</v>
      </c>
      <c r="J478" t="str">
        <f>TEXT(orders[[#All],[Order_Date]],"mmm")</f>
        <v>Apr</v>
      </c>
      <c r="K478">
        <f>YEAR(orders[[#This Row],[Order_Date]])</f>
        <v>2024</v>
      </c>
    </row>
    <row r="479" spans="1:11" x14ac:dyDescent="0.3">
      <c r="A479">
        <v>1477</v>
      </c>
      <c r="B479" s="1">
        <v>45404</v>
      </c>
      <c r="C479" t="s">
        <v>13</v>
      </c>
      <c r="D479" t="s">
        <v>10</v>
      </c>
      <c r="E479" t="s">
        <v>22</v>
      </c>
      <c r="F479">
        <v>3345</v>
      </c>
      <c r="G479">
        <v>291</v>
      </c>
      <c r="H479" t="s">
        <v>14</v>
      </c>
      <c r="I479" s="2">
        <v>3054</v>
      </c>
      <c r="J479" t="str">
        <f>TEXT(orders[[#All],[Order_Date]],"mmm")</f>
        <v>Apr</v>
      </c>
      <c r="K479">
        <f>YEAR(orders[[#This Row],[Order_Date]])</f>
        <v>2024</v>
      </c>
    </row>
    <row r="480" spans="1:11" x14ac:dyDescent="0.3">
      <c r="A480">
        <v>1478</v>
      </c>
      <c r="B480" s="1">
        <v>45405</v>
      </c>
      <c r="C480" t="s">
        <v>15</v>
      </c>
      <c r="D480" t="s">
        <v>19</v>
      </c>
      <c r="E480" t="s">
        <v>20</v>
      </c>
      <c r="F480">
        <v>2487</v>
      </c>
      <c r="G480">
        <v>981</v>
      </c>
      <c r="H480" t="s">
        <v>12</v>
      </c>
      <c r="I480" s="2">
        <v>1506</v>
      </c>
      <c r="J480" t="str">
        <f>TEXT(orders[[#All],[Order_Date]],"mmm")</f>
        <v>Apr</v>
      </c>
      <c r="K480">
        <f>YEAR(orders[[#This Row],[Order_Date]])</f>
        <v>2024</v>
      </c>
    </row>
    <row r="481" spans="1:11" x14ac:dyDescent="0.3">
      <c r="A481">
        <v>1479</v>
      </c>
      <c r="B481" s="1">
        <v>45406</v>
      </c>
      <c r="C481" t="s">
        <v>13</v>
      </c>
      <c r="D481" t="s">
        <v>10</v>
      </c>
      <c r="E481" t="s">
        <v>17</v>
      </c>
      <c r="F481">
        <v>4593</v>
      </c>
      <c r="G481">
        <v>3925</v>
      </c>
      <c r="H481" t="s">
        <v>18</v>
      </c>
      <c r="I481" s="2">
        <v>668</v>
      </c>
      <c r="J481" t="str">
        <f>TEXT(orders[[#All],[Order_Date]],"mmm")</f>
        <v>Apr</v>
      </c>
      <c r="K481">
        <f>YEAR(orders[[#This Row],[Order_Date]])</f>
        <v>2024</v>
      </c>
    </row>
    <row r="482" spans="1:11" x14ac:dyDescent="0.3">
      <c r="A482">
        <v>1480</v>
      </c>
      <c r="B482" s="1">
        <v>45407</v>
      </c>
      <c r="C482" t="s">
        <v>9</v>
      </c>
      <c r="D482" t="s">
        <v>10</v>
      </c>
      <c r="E482" t="s">
        <v>25</v>
      </c>
      <c r="F482">
        <v>1786</v>
      </c>
      <c r="G482">
        <v>3185</v>
      </c>
      <c r="H482" t="s">
        <v>18</v>
      </c>
      <c r="I482" s="2">
        <v>-1399</v>
      </c>
      <c r="J482" t="str">
        <f>TEXT(orders[[#All],[Order_Date]],"mmm")</f>
        <v>Apr</v>
      </c>
      <c r="K482">
        <f>YEAR(orders[[#This Row],[Order_Date]])</f>
        <v>2024</v>
      </c>
    </row>
    <row r="483" spans="1:11" x14ac:dyDescent="0.3">
      <c r="A483">
        <v>1481</v>
      </c>
      <c r="B483" s="1">
        <v>45408</v>
      </c>
      <c r="C483" t="s">
        <v>13</v>
      </c>
      <c r="D483" t="s">
        <v>16</v>
      </c>
      <c r="E483" t="s">
        <v>20</v>
      </c>
      <c r="F483">
        <v>4829</v>
      </c>
      <c r="G483">
        <v>528</v>
      </c>
      <c r="H483" t="s">
        <v>12</v>
      </c>
      <c r="I483" s="2">
        <v>4301</v>
      </c>
      <c r="J483" t="str">
        <f>TEXT(orders[[#All],[Order_Date]],"mmm")</f>
        <v>Apr</v>
      </c>
      <c r="K483">
        <f>YEAR(orders[[#This Row],[Order_Date]])</f>
        <v>2024</v>
      </c>
    </row>
    <row r="484" spans="1:11" x14ac:dyDescent="0.3">
      <c r="A484">
        <v>1482</v>
      </c>
      <c r="B484" s="1">
        <v>45409</v>
      </c>
      <c r="C484" t="s">
        <v>9</v>
      </c>
      <c r="D484" t="s">
        <v>19</v>
      </c>
      <c r="E484" t="s">
        <v>20</v>
      </c>
      <c r="F484">
        <v>4057</v>
      </c>
      <c r="G484">
        <v>2894</v>
      </c>
      <c r="H484" t="s">
        <v>26</v>
      </c>
      <c r="I484" s="2">
        <v>1163</v>
      </c>
      <c r="J484" t="str">
        <f>TEXT(orders[[#All],[Order_Date]],"mmm")</f>
        <v>Apr</v>
      </c>
      <c r="K484">
        <f>YEAR(orders[[#This Row],[Order_Date]])</f>
        <v>2024</v>
      </c>
    </row>
    <row r="485" spans="1:11" x14ac:dyDescent="0.3">
      <c r="A485">
        <v>1483</v>
      </c>
      <c r="B485" s="1">
        <v>45410</v>
      </c>
      <c r="C485" t="s">
        <v>15</v>
      </c>
      <c r="D485" t="s">
        <v>10</v>
      </c>
      <c r="E485" t="s">
        <v>22</v>
      </c>
      <c r="F485">
        <v>4863</v>
      </c>
      <c r="G485">
        <v>1574</v>
      </c>
      <c r="H485" t="s">
        <v>12</v>
      </c>
      <c r="I485" s="2">
        <v>3289</v>
      </c>
      <c r="J485" t="str">
        <f>TEXT(orders[[#All],[Order_Date]],"mmm")</f>
        <v>Apr</v>
      </c>
      <c r="K485">
        <f>YEAR(orders[[#This Row],[Order_Date]])</f>
        <v>2024</v>
      </c>
    </row>
    <row r="486" spans="1:11" x14ac:dyDescent="0.3">
      <c r="A486">
        <v>1484</v>
      </c>
      <c r="B486" s="1">
        <v>45411</v>
      </c>
      <c r="C486" t="s">
        <v>23</v>
      </c>
      <c r="D486" t="s">
        <v>16</v>
      </c>
      <c r="E486" t="s">
        <v>25</v>
      </c>
      <c r="F486">
        <v>3909</v>
      </c>
      <c r="G486">
        <v>1364</v>
      </c>
      <c r="H486" t="s">
        <v>18</v>
      </c>
      <c r="I486" s="2">
        <v>2545</v>
      </c>
      <c r="J486" t="str">
        <f>TEXT(orders[[#All],[Order_Date]],"mmm")</f>
        <v>Apr</v>
      </c>
      <c r="K486">
        <f>YEAR(orders[[#This Row],[Order_Date]])</f>
        <v>2024</v>
      </c>
    </row>
    <row r="487" spans="1:11" x14ac:dyDescent="0.3">
      <c r="A487">
        <v>1485</v>
      </c>
      <c r="B487" s="1">
        <v>45412</v>
      </c>
      <c r="C487" t="s">
        <v>23</v>
      </c>
      <c r="D487" t="s">
        <v>10</v>
      </c>
      <c r="E487" t="s">
        <v>25</v>
      </c>
      <c r="F487">
        <v>3371</v>
      </c>
      <c r="G487">
        <v>810</v>
      </c>
      <c r="H487" t="s">
        <v>21</v>
      </c>
      <c r="I487" s="2">
        <v>2561</v>
      </c>
      <c r="J487" t="str">
        <f>TEXT(orders[[#All],[Order_Date]],"mmm")</f>
        <v>Apr</v>
      </c>
      <c r="K487">
        <f>YEAR(orders[[#This Row],[Order_Date]])</f>
        <v>2024</v>
      </c>
    </row>
    <row r="488" spans="1:11" x14ac:dyDescent="0.3">
      <c r="A488">
        <v>1486</v>
      </c>
      <c r="B488" s="1">
        <v>45413</v>
      </c>
      <c r="C488" t="s">
        <v>9</v>
      </c>
      <c r="D488" t="s">
        <v>10</v>
      </c>
      <c r="E488" t="s">
        <v>25</v>
      </c>
      <c r="F488">
        <v>1823</v>
      </c>
      <c r="G488">
        <v>2123</v>
      </c>
      <c r="H488" t="s">
        <v>14</v>
      </c>
      <c r="I488" s="2">
        <v>-300</v>
      </c>
      <c r="J488" t="str">
        <f>TEXT(orders[[#All],[Order_Date]],"mmm")</f>
        <v>May</v>
      </c>
      <c r="K488">
        <f>YEAR(orders[[#This Row],[Order_Date]])</f>
        <v>2024</v>
      </c>
    </row>
    <row r="489" spans="1:11" x14ac:dyDescent="0.3">
      <c r="A489">
        <v>1487</v>
      </c>
      <c r="B489" s="1">
        <v>45414</v>
      </c>
      <c r="C489" t="s">
        <v>23</v>
      </c>
      <c r="D489" t="s">
        <v>19</v>
      </c>
      <c r="E489" t="s">
        <v>20</v>
      </c>
      <c r="F489">
        <v>1011</v>
      </c>
      <c r="G489">
        <v>2480</v>
      </c>
      <c r="H489" t="s">
        <v>14</v>
      </c>
      <c r="I489" s="2">
        <v>-1469</v>
      </c>
      <c r="J489" t="str">
        <f>TEXT(orders[[#All],[Order_Date]],"mmm")</f>
        <v>May</v>
      </c>
      <c r="K489">
        <f>YEAR(orders[[#This Row],[Order_Date]])</f>
        <v>2024</v>
      </c>
    </row>
    <row r="490" spans="1:11" x14ac:dyDescent="0.3">
      <c r="A490">
        <v>1488</v>
      </c>
      <c r="B490" s="1">
        <v>45415</v>
      </c>
      <c r="C490" t="s">
        <v>15</v>
      </c>
      <c r="D490" t="s">
        <v>10</v>
      </c>
      <c r="E490" t="s">
        <v>17</v>
      </c>
      <c r="F490">
        <v>3179</v>
      </c>
      <c r="G490">
        <v>3800</v>
      </c>
      <c r="H490" t="s">
        <v>12</v>
      </c>
      <c r="I490" s="2">
        <v>-621</v>
      </c>
      <c r="J490" t="str">
        <f>TEXT(orders[[#All],[Order_Date]],"mmm")</f>
        <v>May</v>
      </c>
      <c r="K490">
        <f>YEAR(orders[[#This Row],[Order_Date]])</f>
        <v>2024</v>
      </c>
    </row>
    <row r="491" spans="1:11" x14ac:dyDescent="0.3">
      <c r="A491">
        <v>1489</v>
      </c>
      <c r="B491" s="1">
        <v>45416</v>
      </c>
      <c r="C491" t="s">
        <v>13</v>
      </c>
      <c r="D491" t="s">
        <v>16</v>
      </c>
      <c r="E491" t="s">
        <v>24</v>
      </c>
      <c r="F491">
        <v>4866</v>
      </c>
      <c r="G491">
        <v>2509</v>
      </c>
      <c r="H491" t="s">
        <v>12</v>
      </c>
      <c r="I491" s="2">
        <v>2357</v>
      </c>
      <c r="J491" t="str">
        <f>TEXT(orders[[#All],[Order_Date]],"mmm")</f>
        <v>May</v>
      </c>
      <c r="K491">
        <f>YEAR(orders[[#This Row],[Order_Date]])</f>
        <v>2024</v>
      </c>
    </row>
    <row r="492" spans="1:11" x14ac:dyDescent="0.3">
      <c r="A492">
        <v>1490</v>
      </c>
      <c r="B492" s="1">
        <v>45417</v>
      </c>
      <c r="C492" t="s">
        <v>13</v>
      </c>
      <c r="D492" t="s">
        <v>10</v>
      </c>
      <c r="E492" t="s">
        <v>11</v>
      </c>
      <c r="F492">
        <v>770</v>
      </c>
      <c r="G492">
        <v>3824</v>
      </c>
      <c r="H492" t="s">
        <v>26</v>
      </c>
      <c r="I492" s="2">
        <v>-3054</v>
      </c>
      <c r="J492" t="str">
        <f>TEXT(orders[[#All],[Order_Date]],"mmm")</f>
        <v>May</v>
      </c>
      <c r="K492">
        <f>YEAR(orders[[#This Row],[Order_Date]])</f>
        <v>2024</v>
      </c>
    </row>
    <row r="493" spans="1:11" x14ac:dyDescent="0.3">
      <c r="A493">
        <v>1491</v>
      </c>
      <c r="B493" s="1">
        <v>45418</v>
      </c>
      <c r="C493" t="s">
        <v>13</v>
      </c>
      <c r="D493" t="s">
        <v>19</v>
      </c>
      <c r="E493" t="s">
        <v>24</v>
      </c>
      <c r="F493">
        <v>2628</v>
      </c>
      <c r="G493">
        <v>1663</v>
      </c>
      <c r="H493" t="s">
        <v>14</v>
      </c>
      <c r="I493" s="2">
        <v>965</v>
      </c>
      <c r="J493" t="str">
        <f>TEXT(orders[[#All],[Order_Date]],"mmm")</f>
        <v>May</v>
      </c>
      <c r="K493">
        <f>YEAR(orders[[#This Row],[Order_Date]])</f>
        <v>2024</v>
      </c>
    </row>
    <row r="494" spans="1:11" x14ac:dyDescent="0.3">
      <c r="A494">
        <v>1492</v>
      </c>
      <c r="B494" s="1">
        <v>45419</v>
      </c>
      <c r="C494" t="s">
        <v>15</v>
      </c>
      <c r="D494" t="s">
        <v>10</v>
      </c>
      <c r="E494" t="s">
        <v>11</v>
      </c>
      <c r="F494">
        <v>947</v>
      </c>
      <c r="G494">
        <v>3173</v>
      </c>
      <c r="H494" t="s">
        <v>12</v>
      </c>
      <c r="I494" s="2">
        <v>-2226</v>
      </c>
      <c r="J494" t="str">
        <f>TEXT(orders[[#All],[Order_Date]],"mmm")</f>
        <v>May</v>
      </c>
      <c r="K494">
        <f>YEAR(orders[[#This Row],[Order_Date]])</f>
        <v>2024</v>
      </c>
    </row>
    <row r="495" spans="1:11" x14ac:dyDescent="0.3">
      <c r="A495">
        <v>1493</v>
      </c>
      <c r="B495" s="1">
        <v>45420</v>
      </c>
      <c r="C495" t="s">
        <v>23</v>
      </c>
      <c r="D495" t="s">
        <v>10</v>
      </c>
      <c r="E495" t="s">
        <v>22</v>
      </c>
      <c r="F495">
        <v>4969</v>
      </c>
      <c r="G495">
        <v>1917</v>
      </c>
      <c r="H495" t="s">
        <v>18</v>
      </c>
      <c r="I495" s="2">
        <v>3052</v>
      </c>
      <c r="J495" t="str">
        <f>TEXT(orders[[#All],[Order_Date]],"mmm")</f>
        <v>May</v>
      </c>
      <c r="K495">
        <f>YEAR(orders[[#This Row],[Order_Date]])</f>
        <v>2024</v>
      </c>
    </row>
    <row r="496" spans="1:11" x14ac:dyDescent="0.3">
      <c r="A496">
        <v>1494</v>
      </c>
      <c r="B496" s="1">
        <v>45421</v>
      </c>
      <c r="C496" t="s">
        <v>15</v>
      </c>
      <c r="D496" t="s">
        <v>19</v>
      </c>
      <c r="E496" t="s">
        <v>24</v>
      </c>
      <c r="F496">
        <v>543</v>
      </c>
      <c r="G496">
        <v>478</v>
      </c>
      <c r="H496" t="s">
        <v>18</v>
      </c>
      <c r="I496" s="2">
        <v>65</v>
      </c>
      <c r="J496" t="str">
        <f>TEXT(orders[[#All],[Order_Date]],"mmm")</f>
        <v>May</v>
      </c>
      <c r="K496">
        <f>YEAR(orders[[#This Row],[Order_Date]])</f>
        <v>2024</v>
      </c>
    </row>
    <row r="497" spans="1:11" x14ac:dyDescent="0.3">
      <c r="A497">
        <v>1495</v>
      </c>
      <c r="B497" s="1">
        <v>45422</v>
      </c>
      <c r="C497" t="s">
        <v>23</v>
      </c>
      <c r="D497" t="s">
        <v>10</v>
      </c>
      <c r="E497" t="s">
        <v>20</v>
      </c>
      <c r="F497">
        <v>4299</v>
      </c>
      <c r="G497">
        <v>557</v>
      </c>
      <c r="H497" t="s">
        <v>21</v>
      </c>
      <c r="I497" s="2">
        <v>3742</v>
      </c>
      <c r="J497" t="str">
        <f>TEXT(orders[[#All],[Order_Date]],"mmm")</f>
        <v>May</v>
      </c>
      <c r="K497">
        <f>YEAR(orders[[#This Row],[Order_Date]])</f>
        <v>2024</v>
      </c>
    </row>
    <row r="498" spans="1:11" x14ac:dyDescent="0.3">
      <c r="A498">
        <v>1496</v>
      </c>
      <c r="B498" s="1">
        <v>45423</v>
      </c>
      <c r="C498" t="s">
        <v>13</v>
      </c>
      <c r="D498" t="s">
        <v>10</v>
      </c>
      <c r="E498" t="s">
        <v>11</v>
      </c>
      <c r="F498">
        <v>3083</v>
      </c>
      <c r="G498">
        <v>2783</v>
      </c>
      <c r="H498" t="s">
        <v>21</v>
      </c>
      <c r="I498" s="2">
        <v>300</v>
      </c>
      <c r="J498" t="str">
        <f>TEXT(orders[[#All],[Order_Date]],"mmm")</f>
        <v>May</v>
      </c>
      <c r="K498">
        <f>YEAR(orders[[#This Row],[Order_Date]])</f>
        <v>2024</v>
      </c>
    </row>
    <row r="499" spans="1:11" x14ac:dyDescent="0.3">
      <c r="A499">
        <v>1497</v>
      </c>
      <c r="B499" s="1">
        <v>45424</v>
      </c>
      <c r="C499" t="s">
        <v>23</v>
      </c>
      <c r="D499" t="s">
        <v>19</v>
      </c>
      <c r="E499" t="s">
        <v>25</v>
      </c>
      <c r="F499">
        <v>3860</v>
      </c>
      <c r="G499">
        <v>451</v>
      </c>
      <c r="H499" t="s">
        <v>12</v>
      </c>
      <c r="I499" s="2">
        <v>3409</v>
      </c>
      <c r="J499" t="str">
        <f>TEXT(orders[[#All],[Order_Date]],"mmm")</f>
        <v>May</v>
      </c>
      <c r="K499">
        <f>YEAR(orders[[#This Row],[Order_Date]])</f>
        <v>2024</v>
      </c>
    </row>
    <row r="500" spans="1:11" x14ac:dyDescent="0.3">
      <c r="A500">
        <v>1498</v>
      </c>
      <c r="B500" s="1">
        <v>45425</v>
      </c>
      <c r="C500" t="s">
        <v>15</v>
      </c>
      <c r="D500" t="s">
        <v>10</v>
      </c>
      <c r="E500" t="s">
        <v>22</v>
      </c>
      <c r="F500">
        <v>3381</v>
      </c>
      <c r="G500">
        <v>1132</v>
      </c>
      <c r="H500" t="s">
        <v>26</v>
      </c>
      <c r="I500" s="2">
        <v>2249</v>
      </c>
      <c r="J500" t="str">
        <f>TEXT(orders[[#All],[Order_Date]],"mmm")</f>
        <v>May</v>
      </c>
      <c r="K500">
        <f>YEAR(orders[[#This Row],[Order_Date]])</f>
        <v>2024</v>
      </c>
    </row>
    <row r="501" spans="1:11" x14ac:dyDescent="0.3">
      <c r="A501">
        <v>1499</v>
      </c>
      <c r="B501" s="1">
        <v>45426</v>
      </c>
      <c r="C501" t="s">
        <v>23</v>
      </c>
      <c r="D501" t="s">
        <v>16</v>
      </c>
      <c r="E501" t="s">
        <v>24</v>
      </c>
      <c r="F501">
        <v>3337</v>
      </c>
      <c r="G501">
        <v>387</v>
      </c>
      <c r="H501" t="s">
        <v>26</v>
      </c>
      <c r="I501" s="2">
        <v>2950</v>
      </c>
      <c r="J501" t="str">
        <f>TEXT(orders[[#All],[Order_Date]],"mmm")</f>
        <v>May</v>
      </c>
      <c r="K501">
        <f>YEAR(orders[[#This Row],[Order_Date]])</f>
        <v>2024</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3:D8"/>
  <sheetViews>
    <sheetView workbookViewId="0">
      <selection activeCell="K25" sqref="K25"/>
    </sheetView>
  </sheetViews>
  <sheetFormatPr defaultRowHeight="14.4" x14ac:dyDescent="0.3"/>
  <cols>
    <col min="1" max="1" width="12.5546875" bestFit="1" customWidth="1"/>
    <col min="2" max="2" width="11.6640625" bestFit="1" customWidth="1"/>
    <col min="3" max="3" width="12.5546875" customWidth="1"/>
    <col min="4" max="4" width="11.6640625" customWidth="1"/>
  </cols>
  <sheetData>
    <row r="3" spans="3:4" x14ac:dyDescent="0.3">
      <c r="C3" s="4" t="s">
        <v>29</v>
      </c>
      <c r="D3" t="s">
        <v>31</v>
      </c>
    </row>
    <row r="4" spans="3:4" x14ac:dyDescent="0.3">
      <c r="C4" s="5" t="s">
        <v>23</v>
      </c>
      <c r="D4" s="6">
        <v>301651</v>
      </c>
    </row>
    <row r="5" spans="3:4" x14ac:dyDescent="0.3">
      <c r="C5" s="5" t="s">
        <v>9</v>
      </c>
      <c r="D5" s="6">
        <v>360053</v>
      </c>
    </row>
    <row r="6" spans="3:4" x14ac:dyDescent="0.3">
      <c r="C6" s="5" t="s">
        <v>15</v>
      </c>
      <c r="D6" s="6">
        <v>329477</v>
      </c>
    </row>
    <row r="7" spans="3:4" x14ac:dyDescent="0.3">
      <c r="C7" s="5" t="s">
        <v>13</v>
      </c>
      <c r="D7" s="6">
        <v>404652</v>
      </c>
    </row>
    <row r="8" spans="3:4" x14ac:dyDescent="0.3">
      <c r="C8" s="5" t="s">
        <v>30</v>
      </c>
      <c r="D8" s="6">
        <v>1395833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C7"/>
  <sheetViews>
    <sheetView workbookViewId="0">
      <selection activeCell="N11" sqref="N11"/>
    </sheetView>
  </sheetViews>
  <sheetFormatPr defaultRowHeight="14.4" x14ac:dyDescent="0.3"/>
  <cols>
    <col min="1" max="2" width="13.109375" customWidth="1"/>
    <col min="3" max="3" width="11.6640625" customWidth="1"/>
  </cols>
  <sheetData>
    <row r="3" spans="2:3" x14ac:dyDescent="0.3">
      <c r="B3" s="4" t="s">
        <v>29</v>
      </c>
      <c r="C3" t="s">
        <v>31</v>
      </c>
    </row>
    <row r="4" spans="2:3" x14ac:dyDescent="0.3">
      <c r="B4" s="5" t="s">
        <v>19</v>
      </c>
      <c r="C4" s="6">
        <v>436506</v>
      </c>
    </row>
    <row r="5" spans="2:3" x14ac:dyDescent="0.3">
      <c r="B5" s="5" t="s">
        <v>16</v>
      </c>
      <c r="C5" s="6">
        <v>474764</v>
      </c>
    </row>
    <row r="6" spans="2:3" x14ac:dyDescent="0.3">
      <c r="B6" s="5" t="s">
        <v>10</v>
      </c>
      <c r="C6" s="6">
        <v>484563</v>
      </c>
    </row>
    <row r="7" spans="2:3" x14ac:dyDescent="0.3">
      <c r="B7" s="5" t="s">
        <v>30</v>
      </c>
      <c r="C7" s="6">
        <v>1395833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4"/>
  <sheetViews>
    <sheetView workbookViewId="0">
      <selection activeCell="O6" sqref="O6"/>
    </sheetView>
  </sheetViews>
  <sheetFormatPr defaultRowHeight="14.4" x14ac:dyDescent="0.3"/>
  <cols>
    <col min="1" max="1" width="12.5546875" customWidth="1"/>
    <col min="2" max="2" width="11.6640625" customWidth="1"/>
  </cols>
  <sheetData>
    <row r="1" spans="1:2" x14ac:dyDescent="0.3">
      <c r="A1" s="4" t="s">
        <v>29</v>
      </c>
      <c r="B1" t="s">
        <v>31</v>
      </c>
    </row>
    <row r="2" spans="1:2" x14ac:dyDescent="0.3">
      <c r="A2" s="5" t="s">
        <v>32</v>
      </c>
      <c r="B2" s="6">
        <v>168039</v>
      </c>
    </row>
    <row r="3" spans="1:2" x14ac:dyDescent="0.3">
      <c r="A3" s="5" t="s">
        <v>33</v>
      </c>
      <c r="B3" s="6">
        <v>163445</v>
      </c>
    </row>
    <row r="4" spans="1:2" x14ac:dyDescent="0.3">
      <c r="A4" s="5" t="s">
        <v>34</v>
      </c>
      <c r="B4" s="6">
        <v>176065</v>
      </c>
    </row>
    <row r="5" spans="1:2" x14ac:dyDescent="0.3">
      <c r="A5" s="5" t="s">
        <v>35</v>
      </c>
      <c r="B5" s="6">
        <v>189438</v>
      </c>
    </row>
    <row r="6" spans="1:2" x14ac:dyDescent="0.3">
      <c r="A6" s="5" t="s">
        <v>36</v>
      </c>
      <c r="B6" s="6">
        <v>119128</v>
      </c>
    </row>
    <row r="7" spans="1:2" x14ac:dyDescent="0.3">
      <c r="A7" s="5" t="s">
        <v>37</v>
      </c>
      <c r="B7" s="6">
        <v>78934</v>
      </c>
    </row>
    <row r="8" spans="1:2" x14ac:dyDescent="0.3">
      <c r="A8" s="5" t="s">
        <v>38</v>
      </c>
      <c r="B8" s="6">
        <v>82941</v>
      </c>
    </row>
    <row r="9" spans="1:2" x14ac:dyDescent="0.3">
      <c r="A9" s="5" t="s">
        <v>39</v>
      </c>
      <c r="B9" s="6">
        <v>81789</v>
      </c>
    </row>
    <row r="10" spans="1:2" x14ac:dyDescent="0.3">
      <c r="A10" s="5" t="s">
        <v>40</v>
      </c>
      <c r="B10" s="6">
        <v>71807</v>
      </c>
    </row>
    <row r="11" spans="1:2" x14ac:dyDescent="0.3">
      <c r="A11" s="5" t="s">
        <v>41</v>
      </c>
      <c r="B11" s="6">
        <v>84848</v>
      </c>
    </row>
    <row r="12" spans="1:2" x14ac:dyDescent="0.3">
      <c r="A12" s="5" t="s">
        <v>42</v>
      </c>
      <c r="B12" s="6">
        <v>82575</v>
      </c>
    </row>
    <row r="13" spans="1:2" x14ac:dyDescent="0.3">
      <c r="A13" s="5" t="s">
        <v>43</v>
      </c>
      <c r="B13" s="6">
        <v>96824</v>
      </c>
    </row>
    <row r="14" spans="1:2" x14ac:dyDescent="0.3">
      <c r="A14" s="5" t="s">
        <v>30</v>
      </c>
      <c r="B14" s="6">
        <v>1395833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Views>
    <sheetView workbookViewId="0">
      <selection activeCell="N9" sqref="N9"/>
    </sheetView>
  </sheetViews>
  <sheetFormatPr defaultRowHeight="14.4" x14ac:dyDescent="0.3"/>
  <cols>
    <col min="1" max="1" width="12.5546875" customWidth="1"/>
    <col min="2" max="2" width="11.6640625" customWidth="1"/>
  </cols>
  <sheetData>
    <row r="1" spans="1:2" x14ac:dyDescent="0.3">
      <c r="A1" s="4" t="s">
        <v>29</v>
      </c>
      <c r="B1" t="s">
        <v>31</v>
      </c>
    </row>
    <row r="2" spans="1:2" x14ac:dyDescent="0.3">
      <c r="A2" s="5" t="s">
        <v>20</v>
      </c>
      <c r="B2" s="6">
        <v>264818</v>
      </c>
    </row>
    <row r="3" spans="1:2" x14ac:dyDescent="0.3">
      <c r="A3" s="5" t="s">
        <v>24</v>
      </c>
      <c r="B3" s="6">
        <v>242734</v>
      </c>
    </row>
    <row r="4" spans="1:2" x14ac:dyDescent="0.3">
      <c r="A4" s="5" t="s">
        <v>17</v>
      </c>
      <c r="B4" s="6">
        <v>224739</v>
      </c>
    </row>
    <row r="5" spans="1:2" x14ac:dyDescent="0.3">
      <c r="A5" s="5" t="s">
        <v>11</v>
      </c>
      <c r="B5" s="6">
        <v>223033</v>
      </c>
    </row>
    <row r="6" spans="1:2" x14ac:dyDescent="0.3">
      <c r="A6" s="5" t="s">
        <v>25</v>
      </c>
      <c r="B6" s="6">
        <v>222728</v>
      </c>
    </row>
    <row r="7" spans="1:2" x14ac:dyDescent="0.3">
      <c r="A7" s="5" t="s">
        <v>30</v>
      </c>
      <c r="B7" s="6">
        <v>1178052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L1:AY6"/>
  <sheetViews>
    <sheetView showGridLines="0" showRowColHeaders="0" tabSelected="1" topLeftCell="A17" zoomScale="87" zoomScaleNormal="100" workbookViewId="0">
      <selection activeCell="C49" sqref="C49"/>
    </sheetView>
  </sheetViews>
  <sheetFormatPr defaultRowHeight="14.4" x14ac:dyDescent="0.3"/>
  <cols>
    <col min="48" max="48" width="15.77734375" customWidth="1"/>
    <col min="49" max="49" width="17.6640625" customWidth="1"/>
    <col min="51" max="51" width="0" hidden="1" customWidth="1"/>
  </cols>
  <sheetData>
    <row r="1" spans="38:51" ht="14.4" customHeight="1" x14ac:dyDescent="0.3"/>
    <row r="3" spans="38:51" x14ac:dyDescent="0.3">
      <c r="AY3">
        <f>SUM(orders[Sales])</f>
        <v>1395833</v>
      </c>
    </row>
    <row r="4" spans="38:51" x14ac:dyDescent="0.3">
      <c r="AL4">
        <f>SUM(orders[Sales])</f>
        <v>1395833</v>
      </c>
    </row>
    <row r="5" spans="38:51" x14ac:dyDescent="0.3">
      <c r="AL5">
        <f>SUM(orders[Profit])</f>
        <v>340736</v>
      </c>
    </row>
    <row r="6" spans="38:51" x14ac:dyDescent="0.3">
      <c r="AL6">
        <f>COUNTA(orders[Order_ID])</f>
        <v>500</v>
      </c>
    </row>
  </sheetData>
  <pageMargins left="0.7" right="0.7" top="0.75" bottom="0.75" header="0.3" footer="0.3"/>
  <pageSetup orientation="portrait" r:id="rId1"/>
  <headerFooter>
    <oddHeader xml:space="preserve">&amp;C&amp;24E-COMMERCE SALES DASHBOARD&amp;11
</oddHeader>
  </headerFooter>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SALES DATA</vt:lpstr>
      <vt:lpstr>SALES BY REGION</vt:lpstr>
      <vt:lpstr>SALES BY CATEGORY</vt:lpstr>
      <vt:lpstr>MONTHLY SALES TREND</vt:lpstr>
      <vt:lpstr>TOP PRODUCTS</vt:lpstr>
      <vt:lpstr>DASHBOARD</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2026-04-28T12:16:54Z</dcterms:created>
  <dcterms:modified xsi:type="dcterms:W3CDTF">2026-04-29T13:01:54Z</dcterms:modified>
</cp:coreProperties>
</file>